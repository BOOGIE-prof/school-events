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Ученики" sheetId="1" state="visible" r:id="rId3"/>
    <sheet name="Классы" sheetId="2" state="visible" r:id="rId4"/>
    <sheet name="Сводка" sheetId="3" state="visible" r:id="rId5"/>
    <sheet name="Инструкция" sheetId="4" state="visible" r:id="rId6"/>
  </sheets>
  <definedNames>
    <definedName function="false" hidden="false" localSheetId="0" name="_xlnm.Print_Titles" vbProcedure="false">Ученики!$4:$4</definedName>
    <definedName function="false" hidden="true" localSheetId="0" name="_xlnm._FilterDatabase" vbProcedure="false">Ученики!$A$4:$M$104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Впишите цену каждого пакета. От неё считаются остаток и статус оплаты.</t>
        </r>
      </text>
    </comment>
  </commentList>
</comments>
</file>

<file path=xl/sharedStrings.xml><?xml version="1.0" encoding="utf-8"?>
<sst xmlns="http://schemas.openxmlformats.org/spreadsheetml/2006/main" count="65" uniqueCount="55">
  <si>
    <t xml:space="preserve">Список учеников — поездка в Астану (университеты), 27–28 октября 2026</t>
  </si>
  <si>
    <t xml:space="preserve">Жёлтые ячейки заполняются, серые считаются сами. Пакеты и их цены — на листе «Сводка», классные руководители — на листе «Классы».</t>
  </si>
  <si>
    <t xml:space="preserve">№</t>
  </si>
  <si>
    <t xml:space="preserve">Фамилия</t>
  </si>
  <si>
    <t xml:space="preserve">Имя</t>
  </si>
  <si>
    <t xml:space="preserve">Отчество</t>
  </si>
  <si>
    <t xml:space="preserve">Класс</t>
  </si>
  <si>
    <t xml:space="preserve">Классный руководитель</t>
  </si>
  <si>
    <t xml:space="preserve">Пакет</t>
  </si>
  <si>
    <t xml:space="preserve">Стоимость пакета, тг</t>
  </si>
  <si>
    <t xml:space="preserve">Оплачено, тг</t>
  </si>
  <si>
    <t xml:space="preserve">Остаток, тг</t>
  </si>
  <si>
    <t xml:space="preserve">Статус оплаты</t>
  </si>
  <si>
    <t xml:space="preserve">Готов к поездке</t>
  </si>
  <si>
    <t xml:space="preserve">Примечание</t>
  </si>
  <si>
    <t xml:space="preserve">Классы и классные руководители</t>
  </si>
  <si>
    <t xml:space="preserve">Класс пишите так же, как в списке учеников, например 11 «А». Руководитель подставится в список сам.</t>
  </si>
  <si>
    <t xml:space="preserve">Учеников</t>
  </si>
  <si>
    <t xml:space="preserve">Готовы к поездке</t>
  </si>
  <si>
    <t xml:space="preserve">Итого</t>
  </si>
  <si>
    <t xml:space="preserve">Поездка в Астану: посещение университетов, 27–28 октября 2026</t>
  </si>
  <si>
    <t xml:space="preserve">Дата выезда</t>
  </si>
  <si>
    <t xml:space="preserve">Пакеты</t>
  </si>
  <si>
    <t xml:space="preserve">Пакет (название можно изменить)</t>
  </si>
  <si>
    <t xml:space="preserve">Стоимость, тг</t>
  </si>
  <si>
    <t xml:space="preserve">Выбрали</t>
  </si>
  <si>
    <t xml:space="preserve">Пакет 1</t>
  </si>
  <si>
    <t xml:space="preserve">Пакет 2</t>
  </si>
  <si>
    <t xml:space="preserve">Пакет 3</t>
  </si>
  <si>
    <t xml:space="preserve">Итоги</t>
  </si>
  <si>
    <t xml:space="preserve">Учеников в списке</t>
  </si>
  <si>
    <t xml:space="preserve">Выбрали пакет</t>
  </si>
  <si>
    <t xml:space="preserve">Ещё не выбрали пакет</t>
  </si>
  <si>
    <t xml:space="preserve">Оплатили полностью</t>
  </si>
  <si>
    <t xml:space="preserve">Оплатили частично</t>
  </si>
  <si>
    <t xml:space="preserve">Не оплатили</t>
  </si>
  <si>
    <t xml:space="preserve">Собрано, тг</t>
  </si>
  <si>
    <t xml:space="preserve">Ожидается по выбранным пакетам, тг</t>
  </si>
  <si>
    <t xml:space="preserve">Осталось собрать, тг</t>
  </si>
  <si>
    <t xml:space="preserve">Полностью готовы к поездке</t>
  </si>
  <si>
    <t xml:space="preserve">Разбивка по классам и классные руководители — на листе «Классы».</t>
  </si>
  <si>
    <t xml:space="preserve">Как заполнять</t>
  </si>
  <si>
    <t xml:space="preserve">1. Лист «Ученики»: одна строка — один ученик. Заполняйте только жёлтые ячейки.</t>
  </si>
  <si>
    <t xml:space="preserve">2. Серые ячейки (№, классный руководитель, стоимость пакета, остаток, статус оплаты, «Готов к поездке») считаются сами.</t>
  </si>
  <si>
    <t xml:space="preserve">3. Пакет выбирается из списка в ячейке. Названия и цены пакетов задаются на листе «Сводка».</t>
  </si>
  <si>
    <t xml:space="preserve">4. Если переименовать пакет на «Сводке», у учеников, которые уже выбрали его, нужно выбрать пакет заново.</t>
  </si>
  <si>
    <t xml:space="preserve">5. «Готов к поездке» = Да, когда выбранный пакет оплачен полностью.</t>
  </si>
  <si>
    <t xml:space="preserve">6. Лист «Классы»: класс и его классный руководитель. Класс пишите так же, как в списке (например, 11 «А»).</t>
  </si>
  <si>
    <t xml:space="preserve">Пример заполненной строки (вымышленный ученик, в список не переносить)</t>
  </si>
  <si>
    <t xml:space="preserve">Иванов</t>
  </si>
  <si>
    <t xml:space="preserve">Арман</t>
  </si>
  <si>
    <t xml:space="preserve">Серикович</t>
  </si>
  <si>
    <t xml:space="preserve">11 «А»</t>
  </si>
  <si>
    <t xml:space="preserve">Вегетарианец</t>
  </si>
  <si>
    <t xml:space="preserve">Важно: список учеников — персональные данные. Не выкладывайте заполненный файл в общий доступ и в репозиторий.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</si>
</sst>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dd\.mm\.yyyy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EEEEE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tr">
        <f aca="false">IF(B5="","",ROW()-4)</f>
        <v/>
      </c>
      <c r="B5" s="5"/>
      <c r="C5" s="5"/>
      <c r="D5" s="5"/>
      <c r="E5" s="6"/>
      <c r="F5" s="7" t="str">
        <f aca="false">IF(E5="","",IFERROR(INDEX(Классы!$C$4:$C$33,MATCH(E5,Классы!$B$4:$B$33,0))&amp;"",""))</f>
        <v/>
      </c>
      <c r="G5" s="6"/>
      <c r="H5" s="8" t="str">
        <f aca="false">IF(OR(B5="",G5=""),"",IFERROR(IF(INDEX(Сводка!$C$7:$C$9,MATCH(G5,Сводка!$B$7:$B$9,0))="","",INDEX(Сводка!$C$7:$C$9,MATCH(G5,Сводка!$B$7:$B$9,0))),""))</f>
        <v/>
      </c>
      <c r="I5" s="9"/>
      <c r="J5" s="8" t="str">
        <f aca="false">IF(H5="","",H5-I5)</f>
        <v/>
      </c>
      <c r="K5" s="4" t="str">
        <f aca="false">IF(B5="","",IF(G5="","Пакет не выбран",IF(H5="","",IF(I5&gt;=H5,"Оплачено",IF(I5&gt;0,"Частично","Не оплачено")))))</f>
        <v/>
      </c>
      <c r="L5" s="4" t="str">
        <f aca="false">IF(B5="","",IF(K5="Оплачено","Да","Нет"))</f>
        <v/>
      </c>
      <c r="M5" s="5"/>
    </row>
    <row r="6" customFormat="false" ht="15" hidden="false" customHeight="false" outlineLevel="0" collapsed="false">
      <c r="A6" s="4" t="str">
        <f aca="false">IF(B6="","",ROW()-4)</f>
        <v/>
      </c>
      <c r="B6" s="5"/>
      <c r="C6" s="5"/>
      <c r="D6" s="5"/>
      <c r="E6" s="6"/>
      <c r="F6" s="7" t="str">
        <f aca="false">IF(E6="","",IFERROR(INDEX(Классы!$C$4:$C$33,MATCH(E6,Классы!$B$4:$B$33,0))&amp;"",""))</f>
        <v/>
      </c>
      <c r="G6" s="6"/>
      <c r="H6" s="8" t="str">
        <f aca="false">IF(OR(B6="",G6=""),"",IFERROR(IF(INDEX(Сводка!$C$7:$C$9,MATCH(G6,Сводка!$B$7:$B$9,0))="","",INDEX(Сводка!$C$7:$C$9,MATCH(G6,Сводка!$B$7:$B$9,0))),""))</f>
        <v/>
      </c>
      <c r="I6" s="9"/>
      <c r="J6" s="8" t="str">
        <f aca="false">IF(H6="","",H6-I6)</f>
        <v/>
      </c>
      <c r="K6" s="4" t="str">
        <f aca="false">IF(B6="","",IF(G6="","Пакет не выбран",IF(H6="","",IF(I6&gt;=H6,"Оплачено",IF(I6&gt;0,"Частично","Не оплачено")))))</f>
        <v/>
      </c>
      <c r="L6" s="4" t="str">
        <f aca="false">IF(B6="","",IF(K6="Оплачено","Да","Нет"))</f>
        <v/>
      </c>
      <c r="M6" s="5"/>
    </row>
    <row r="7" customFormat="false" ht="15" hidden="false" customHeight="false" outlineLevel="0" collapsed="false">
      <c r="A7" s="4" t="str">
        <f aca="false">IF(B7="","",ROW()-4)</f>
        <v/>
      </c>
      <c r="B7" s="5"/>
      <c r="C7" s="5"/>
      <c r="D7" s="5"/>
      <c r="E7" s="6"/>
      <c r="F7" s="7" t="str">
        <f aca="false">IF(E7="","",IFERROR(INDEX(Классы!$C$4:$C$33,MATCH(E7,Классы!$B$4:$B$33,0))&amp;"",""))</f>
        <v/>
      </c>
      <c r="G7" s="6"/>
      <c r="H7" s="8" t="str">
        <f aca="false">IF(OR(B7="",G7=""),"",IFERROR(IF(INDEX(Сводка!$C$7:$C$9,MATCH(G7,Сводка!$B$7:$B$9,0))="","",INDEX(Сводка!$C$7:$C$9,MATCH(G7,Сводка!$B$7:$B$9,0))),""))</f>
        <v/>
      </c>
      <c r="I7" s="9"/>
      <c r="J7" s="8" t="str">
        <f aca="false">IF(H7="","",H7-I7)</f>
        <v/>
      </c>
      <c r="K7" s="4" t="str">
        <f aca="false">IF(B7="","",IF(G7="","Пакет не выбран",IF(H7="","",IF(I7&gt;=H7,"Оплачено",IF(I7&gt;0,"Частично","Не оплачено")))))</f>
        <v/>
      </c>
      <c r="L7" s="4" t="str">
        <f aca="false">IF(B7="","",IF(K7="Оплачено","Да","Нет"))</f>
        <v/>
      </c>
      <c r="M7" s="5"/>
    </row>
    <row r="8" customFormat="false" ht="15" hidden="false" customHeight="false" outlineLevel="0" collapsed="false">
      <c r="A8" s="4" t="str">
        <f aca="false">IF(B8="","",ROW()-4)</f>
        <v/>
      </c>
      <c r="B8" s="5"/>
      <c r="C8" s="5"/>
      <c r="D8" s="5"/>
      <c r="E8" s="6"/>
      <c r="F8" s="7" t="str">
        <f aca="false">IF(E8="","",IFERROR(INDEX(Классы!$C$4:$C$33,MATCH(E8,Классы!$B$4:$B$33,0))&amp;"",""))</f>
        <v/>
      </c>
      <c r="G8" s="6"/>
      <c r="H8" s="8" t="str">
        <f aca="false">IF(OR(B8="",G8=""),"",IFERROR(IF(INDEX(Сводка!$C$7:$C$9,MATCH(G8,Сводка!$B$7:$B$9,0))="","",INDEX(Сводка!$C$7:$C$9,MATCH(G8,Сводка!$B$7:$B$9,0))),""))</f>
        <v/>
      </c>
      <c r="I8" s="9"/>
      <c r="J8" s="8" t="str">
        <f aca="false">IF(H8="","",H8-I8)</f>
        <v/>
      </c>
      <c r="K8" s="4" t="str">
        <f aca="false">IF(B8="","",IF(G8="","Пакет не выбран",IF(H8="","",IF(I8&gt;=H8,"Оплачено",IF(I8&gt;0,"Частично","Не оплачено")))))</f>
        <v/>
      </c>
      <c r="L8" s="4" t="str">
        <f aca="false">IF(B8="","",IF(K8="Оплачено","Да","Нет"))</f>
        <v/>
      </c>
      <c r="M8" s="5"/>
    </row>
    <row r="9" customFormat="false" ht="15" hidden="false" customHeight="false" outlineLevel="0" collapsed="false">
      <c r="A9" s="4" t="str">
        <f aca="false">IF(B9="","",ROW()-4)</f>
        <v/>
      </c>
      <c r="B9" s="5"/>
      <c r="C9" s="5"/>
      <c r="D9" s="5"/>
      <c r="E9" s="6"/>
      <c r="F9" s="7" t="str">
        <f aca="false">IF(E9="","",IFERROR(INDEX(Классы!$C$4:$C$33,MATCH(E9,Классы!$B$4:$B$33,0))&amp;"",""))</f>
        <v/>
      </c>
      <c r="G9" s="6"/>
      <c r="H9" s="8" t="str">
        <f aca="false">IF(OR(B9="",G9=""),"",IFERROR(IF(INDEX(Сводка!$C$7:$C$9,MATCH(G9,Сводка!$B$7:$B$9,0))="","",INDEX(Сводка!$C$7:$C$9,MATCH(G9,Сводка!$B$7:$B$9,0))),""))</f>
        <v/>
      </c>
      <c r="I9" s="9"/>
      <c r="J9" s="8" t="str">
        <f aca="false">IF(H9="","",H9-I9)</f>
        <v/>
      </c>
      <c r="K9" s="4" t="str">
        <f aca="false">IF(B9="","",IF(G9="","Пакет не выбран",IF(H9="","",IF(I9&gt;=H9,"Оплачено",IF(I9&gt;0,"Частично","Не оплачено")))))</f>
        <v/>
      </c>
      <c r="L9" s="4" t="str">
        <f aca="false">IF(B9="","",IF(K9="Оплачено","Да","Нет"))</f>
        <v/>
      </c>
      <c r="M9" s="5"/>
    </row>
    <row r="10" customFormat="false" ht="15" hidden="false" customHeight="false" outlineLevel="0" collapsed="false">
      <c r="A10" s="4" t="str">
        <f aca="false">IF(B10="","",ROW()-4)</f>
        <v/>
      </c>
      <c r="B10" s="5"/>
      <c r="C10" s="5"/>
      <c r="D10" s="5"/>
      <c r="E10" s="6"/>
      <c r="F10" s="7" t="str">
        <f aca="false">IF(E10="","",IFERROR(INDEX(Классы!$C$4:$C$33,MATCH(E10,Классы!$B$4:$B$33,0))&amp;"",""))</f>
        <v/>
      </c>
      <c r="G10" s="6"/>
      <c r="H10" s="8" t="str">
        <f aca="false">IF(OR(B10="",G10=""),"",IFERROR(IF(INDEX(Сводка!$C$7:$C$9,MATCH(G10,Сводка!$B$7:$B$9,0))="","",INDEX(Сводка!$C$7:$C$9,MATCH(G10,Сводка!$B$7:$B$9,0))),""))</f>
        <v/>
      </c>
      <c r="I10" s="9"/>
      <c r="J10" s="8" t="str">
        <f aca="false">IF(H10="","",H10-I10)</f>
        <v/>
      </c>
      <c r="K10" s="4" t="str">
        <f aca="false">IF(B10="","",IF(G10="","Пакет не выбран",IF(H10="","",IF(I10&gt;=H10,"Оплачено",IF(I10&gt;0,"Частично","Не оплачено")))))</f>
        <v/>
      </c>
      <c r="L10" s="4" t="str">
        <f aca="false">IF(B10="","",IF(K10="Оплачено","Да","Нет"))</f>
        <v/>
      </c>
      <c r="M10" s="5"/>
    </row>
    <row r="11" customFormat="false" ht="15" hidden="false" customHeight="false" outlineLevel="0" collapsed="false">
      <c r="A11" s="4" t="str">
        <f aca="false">IF(B11="","",ROW()-4)</f>
        <v/>
      </c>
      <c r="B11" s="5"/>
      <c r="C11" s="5"/>
      <c r="D11" s="5"/>
      <c r="E11" s="6"/>
      <c r="F11" s="7" t="str">
        <f aca="false">IF(E11="","",IFERROR(INDEX(Классы!$C$4:$C$33,MATCH(E11,Классы!$B$4:$B$33,0))&amp;"",""))</f>
        <v/>
      </c>
      <c r="G11" s="6"/>
      <c r="H11" s="8" t="str">
        <f aca="false">IF(OR(B11="",G11=""),"",IFERROR(IF(INDEX(Сводка!$C$7:$C$9,MATCH(G11,Сводка!$B$7:$B$9,0))="","",INDEX(Сводка!$C$7:$C$9,MATCH(G11,Сводка!$B$7:$B$9,0))),""))</f>
        <v/>
      </c>
      <c r="I11" s="9"/>
      <c r="J11" s="8" t="str">
        <f aca="false">IF(H11="","",H11-I11)</f>
        <v/>
      </c>
      <c r="K11" s="4" t="str">
        <f aca="false">IF(B11="","",IF(G11="","Пакет не выбран",IF(H11="","",IF(I11&gt;=H11,"Оплачено",IF(I11&gt;0,"Частично","Не оплачено")))))</f>
        <v/>
      </c>
      <c r="L11" s="4" t="str">
        <f aca="false">IF(B11="","",IF(K11="Оплачено","Да","Нет"))</f>
        <v/>
      </c>
      <c r="M11" s="5"/>
    </row>
    <row r="12" customFormat="false" ht="15" hidden="false" customHeight="false" outlineLevel="0" collapsed="false">
      <c r="A12" s="4" t="str">
        <f aca="false">IF(B12="","",ROW()-4)</f>
        <v/>
      </c>
      <c r="B12" s="5"/>
      <c r="C12" s="5"/>
      <c r="D12" s="5"/>
      <c r="E12" s="6"/>
      <c r="F12" s="7" t="str">
        <f aca="false">IF(E12="","",IFERROR(INDEX(Классы!$C$4:$C$33,MATCH(E12,Классы!$B$4:$B$33,0))&amp;"",""))</f>
        <v/>
      </c>
      <c r="G12" s="6"/>
      <c r="H12" s="8" t="str">
        <f aca="false">IF(OR(B12="",G12=""),"",IFERROR(IF(INDEX(Сводка!$C$7:$C$9,MATCH(G12,Сводка!$B$7:$B$9,0))="","",INDEX(Сводка!$C$7:$C$9,MATCH(G12,Сводка!$B$7:$B$9,0))),""))</f>
        <v/>
      </c>
      <c r="I12" s="9"/>
      <c r="J12" s="8" t="str">
        <f aca="false">IF(H12="","",H12-I12)</f>
        <v/>
      </c>
      <c r="K12" s="4" t="str">
        <f aca="false">IF(B12="","",IF(G12="","Пакет не выбран",IF(H12="","",IF(I12&gt;=H12,"Оплачено",IF(I12&gt;0,"Частично","Не оплачено")))))</f>
        <v/>
      </c>
      <c r="L12" s="4" t="str">
        <f aca="false">IF(B12="","",IF(K12="Оплачено","Да","Нет"))</f>
        <v/>
      </c>
      <c r="M12" s="5"/>
    </row>
    <row r="13" customFormat="false" ht="15" hidden="false" customHeight="false" outlineLevel="0" collapsed="false">
      <c r="A13" s="4" t="str">
        <f aca="false">IF(B13="","",ROW()-4)</f>
        <v/>
      </c>
      <c r="B13" s="5"/>
      <c r="C13" s="5"/>
      <c r="D13" s="5"/>
      <c r="E13" s="6"/>
      <c r="F13" s="7" t="str">
        <f aca="false">IF(E13="","",IFERROR(INDEX(Классы!$C$4:$C$33,MATCH(E13,Классы!$B$4:$B$33,0))&amp;"",""))</f>
        <v/>
      </c>
      <c r="G13" s="6"/>
      <c r="H13" s="8" t="str">
        <f aca="false">IF(OR(B13="",G13=""),"",IFERROR(IF(INDEX(Сводка!$C$7:$C$9,MATCH(G13,Сводка!$B$7:$B$9,0))="","",INDEX(Сводка!$C$7:$C$9,MATCH(G13,Сводка!$B$7:$B$9,0))),""))</f>
        <v/>
      </c>
      <c r="I13" s="9"/>
      <c r="J13" s="8" t="str">
        <f aca="false">IF(H13="","",H13-I13)</f>
        <v/>
      </c>
      <c r="K13" s="4" t="str">
        <f aca="false">IF(B13="","",IF(G13="","Пакет не выбран",IF(H13="","",IF(I13&gt;=H13,"Оплачено",IF(I13&gt;0,"Частично","Не оплачено")))))</f>
        <v/>
      </c>
      <c r="L13" s="4" t="str">
        <f aca="false">IF(B13="","",IF(K13="Оплачено","Да","Нет"))</f>
        <v/>
      </c>
      <c r="M13" s="5"/>
    </row>
    <row r="14" customFormat="false" ht="15" hidden="false" customHeight="false" outlineLevel="0" collapsed="false">
      <c r="A14" s="4" t="str">
        <f aca="false">IF(B14="","",ROW()-4)</f>
        <v/>
      </c>
      <c r="B14" s="5"/>
      <c r="C14" s="5"/>
      <c r="D14" s="5"/>
      <c r="E14" s="6"/>
      <c r="F14" s="7" t="str">
        <f aca="false">IF(E14="","",IFERROR(INDEX(Классы!$C$4:$C$33,MATCH(E14,Классы!$B$4:$B$33,0))&amp;"",""))</f>
        <v/>
      </c>
      <c r="G14" s="6"/>
      <c r="H14" s="8" t="str">
        <f aca="false">IF(OR(B14="",G14=""),"",IFERROR(IF(INDEX(Сводка!$C$7:$C$9,MATCH(G14,Сводка!$B$7:$B$9,0))="","",INDEX(Сводка!$C$7:$C$9,MATCH(G14,Сводка!$B$7:$B$9,0))),""))</f>
        <v/>
      </c>
      <c r="I14" s="9"/>
      <c r="J14" s="8" t="str">
        <f aca="false">IF(H14="","",H14-I14)</f>
        <v/>
      </c>
      <c r="K14" s="4" t="str">
        <f aca="false">IF(B14="","",IF(G14="","Пакет не выбран",IF(H14="","",IF(I14&gt;=H14,"Оплачено",IF(I14&gt;0,"Частично","Не оплачено")))))</f>
        <v/>
      </c>
      <c r="L14" s="4" t="str">
        <f aca="false">IF(B14="","",IF(K14="Оплачено","Да","Нет"))</f>
        <v/>
      </c>
      <c r="M14" s="5"/>
    </row>
    <row r="15" customFormat="false" ht="15" hidden="false" customHeight="false" outlineLevel="0" collapsed="false">
      <c r="A15" s="4" t="str">
        <f aca="false">IF(B15="","",ROW()-4)</f>
        <v/>
      </c>
      <c r="B15" s="5"/>
      <c r="C15" s="5"/>
      <c r="D15" s="5"/>
      <c r="E15" s="6"/>
      <c r="F15" s="7" t="str">
        <f aca="false">IF(E15="","",IFERROR(INDEX(Классы!$C$4:$C$33,MATCH(E15,Классы!$B$4:$B$33,0))&amp;"",""))</f>
        <v/>
      </c>
      <c r="G15" s="6"/>
      <c r="H15" s="8" t="str">
        <f aca="false">IF(OR(B15="",G15=""),"",IFERROR(IF(INDEX(Сводка!$C$7:$C$9,MATCH(G15,Сводка!$B$7:$B$9,0))="","",INDEX(Сводка!$C$7:$C$9,MATCH(G15,Сводка!$B$7:$B$9,0))),""))</f>
        <v/>
      </c>
      <c r="I15" s="9"/>
      <c r="J15" s="8" t="str">
        <f aca="false">IF(H15="","",H15-I15)</f>
        <v/>
      </c>
      <c r="K15" s="4" t="str">
        <f aca="false">IF(B15="","",IF(G15="","Пакет не выбран",IF(H15="","",IF(I15&gt;=H15,"Оплачено",IF(I15&gt;0,"Частично","Не оплачено")))))</f>
        <v/>
      </c>
      <c r="L15" s="4" t="str">
        <f aca="false">IF(B15="","",IF(K15="Оплачено","Да","Нет"))</f>
        <v/>
      </c>
      <c r="M15" s="5"/>
    </row>
    <row r="16" customFormat="false" ht="15" hidden="false" customHeight="false" outlineLevel="0" collapsed="false">
      <c r="A16" s="4" t="str">
        <f aca="false">IF(B16="","",ROW()-4)</f>
        <v/>
      </c>
      <c r="B16" s="5"/>
      <c r="C16" s="5"/>
      <c r="D16" s="5"/>
      <c r="E16" s="6"/>
      <c r="F16" s="7" t="str">
        <f aca="false">IF(E16="","",IFERROR(INDEX(Классы!$C$4:$C$33,MATCH(E16,Классы!$B$4:$B$33,0))&amp;"",""))</f>
        <v/>
      </c>
      <c r="G16" s="6"/>
      <c r="H16" s="8" t="str">
        <f aca="false">IF(OR(B16="",G16=""),"",IFERROR(IF(INDEX(Сводка!$C$7:$C$9,MATCH(G16,Сводка!$B$7:$B$9,0))="","",INDEX(Сводка!$C$7:$C$9,MATCH(G16,Сводка!$B$7:$B$9,0))),""))</f>
        <v/>
      </c>
      <c r="I16" s="9"/>
      <c r="J16" s="8" t="str">
        <f aca="false">IF(H16="","",H16-I16)</f>
        <v/>
      </c>
      <c r="K16" s="4" t="str">
        <f aca="false">IF(B16="","",IF(G16="","Пакет не выбран",IF(H16="","",IF(I16&gt;=H16,"Оплачено",IF(I16&gt;0,"Частично","Не оплачено")))))</f>
        <v/>
      </c>
      <c r="L16" s="4" t="str">
        <f aca="false">IF(B16="","",IF(K16="Оплачено","Да","Нет"))</f>
        <v/>
      </c>
      <c r="M16" s="5"/>
    </row>
    <row r="17" customFormat="false" ht="15" hidden="false" customHeight="false" outlineLevel="0" collapsed="false">
      <c r="A17" s="4" t="str">
        <f aca="false">IF(B17="","",ROW()-4)</f>
        <v/>
      </c>
      <c r="B17" s="5"/>
      <c r="C17" s="5"/>
      <c r="D17" s="5"/>
      <c r="E17" s="6"/>
      <c r="F17" s="7" t="str">
        <f aca="false">IF(E17="","",IFERROR(INDEX(Классы!$C$4:$C$33,MATCH(E17,Классы!$B$4:$B$33,0))&amp;"",""))</f>
        <v/>
      </c>
      <c r="G17" s="6"/>
      <c r="H17" s="8" t="str">
        <f aca="false">IF(OR(B17="",G17=""),"",IFERROR(IF(INDEX(Сводка!$C$7:$C$9,MATCH(G17,Сводка!$B$7:$B$9,0))="","",INDEX(Сводка!$C$7:$C$9,MATCH(G17,Сводка!$B$7:$B$9,0))),""))</f>
        <v/>
      </c>
      <c r="I17" s="9"/>
      <c r="J17" s="8" t="str">
        <f aca="false">IF(H17="","",H17-I17)</f>
        <v/>
      </c>
      <c r="K17" s="4" t="str">
        <f aca="false">IF(B17="","",IF(G17="","Пакет не выбран",IF(H17="","",IF(I17&gt;=H17,"Оплачено",IF(I17&gt;0,"Частично","Не оплачено")))))</f>
        <v/>
      </c>
      <c r="L17" s="4" t="str">
        <f aca="false">IF(B17="","",IF(K17="Оплачено","Да","Нет"))</f>
        <v/>
      </c>
      <c r="M17" s="5"/>
    </row>
    <row r="18" customFormat="false" ht="15" hidden="false" customHeight="false" outlineLevel="0" collapsed="false">
      <c r="A18" s="4" t="str">
        <f aca="false">IF(B18="","",ROW()-4)</f>
        <v/>
      </c>
      <c r="B18" s="5"/>
      <c r="C18" s="5"/>
      <c r="D18" s="5"/>
      <c r="E18" s="6"/>
      <c r="F18" s="7" t="str">
        <f aca="false">IF(E18="","",IFERROR(INDEX(Классы!$C$4:$C$33,MATCH(E18,Классы!$B$4:$B$33,0))&amp;"",""))</f>
        <v/>
      </c>
      <c r="G18" s="6"/>
      <c r="H18" s="8" t="str">
        <f aca="false">IF(OR(B18="",G18=""),"",IFERROR(IF(INDEX(Сводка!$C$7:$C$9,MATCH(G18,Сводка!$B$7:$B$9,0))="","",INDEX(Сводка!$C$7:$C$9,MATCH(G18,Сводка!$B$7:$B$9,0))),""))</f>
        <v/>
      </c>
      <c r="I18" s="9"/>
      <c r="J18" s="8" t="str">
        <f aca="false">IF(H18="","",H18-I18)</f>
        <v/>
      </c>
      <c r="K18" s="4" t="str">
        <f aca="false">IF(B18="","",IF(G18="","Пакет не выбран",IF(H18="","",IF(I18&gt;=H18,"Оплачено",IF(I18&gt;0,"Частично","Не оплачено")))))</f>
        <v/>
      </c>
      <c r="L18" s="4" t="str">
        <f aca="false">IF(B18="","",IF(K18="Оплачено","Да","Нет"))</f>
        <v/>
      </c>
      <c r="M18" s="5"/>
    </row>
    <row r="19" customFormat="false" ht="15" hidden="false" customHeight="false" outlineLevel="0" collapsed="false">
      <c r="A19" s="4" t="str">
        <f aca="false">IF(B19="","",ROW()-4)</f>
        <v/>
      </c>
      <c r="B19" s="5"/>
      <c r="C19" s="5"/>
      <c r="D19" s="5"/>
      <c r="E19" s="6"/>
      <c r="F19" s="7" t="str">
        <f aca="false">IF(E19="","",IFERROR(INDEX(Классы!$C$4:$C$33,MATCH(E19,Классы!$B$4:$B$33,0))&amp;"",""))</f>
        <v/>
      </c>
      <c r="G19" s="6"/>
      <c r="H19" s="8" t="str">
        <f aca="false">IF(OR(B19="",G19=""),"",IFERROR(IF(INDEX(Сводка!$C$7:$C$9,MATCH(G19,Сводка!$B$7:$B$9,0))="","",INDEX(Сводка!$C$7:$C$9,MATCH(G19,Сводка!$B$7:$B$9,0))),""))</f>
        <v/>
      </c>
      <c r="I19" s="9"/>
      <c r="J19" s="8" t="str">
        <f aca="false">IF(H19="","",H19-I19)</f>
        <v/>
      </c>
      <c r="K19" s="4" t="str">
        <f aca="false">IF(B19="","",IF(G19="","Пакет не выбран",IF(H19="","",IF(I19&gt;=H19,"Оплачено",IF(I19&gt;0,"Частично","Не оплачено")))))</f>
        <v/>
      </c>
      <c r="L19" s="4" t="str">
        <f aca="false">IF(B19="","",IF(K19="Оплачено","Да","Нет"))</f>
        <v/>
      </c>
      <c r="M19" s="5"/>
    </row>
    <row r="20" customFormat="false" ht="15" hidden="false" customHeight="false" outlineLevel="0" collapsed="false">
      <c r="A20" s="4" t="str">
        <f aca="false">IF(B20="","",ROW()-4)</f>
        <v/>
      </c>
      <c r="B20" s="5"/>
      <c r="C20" s="5"/>
      <c r="D20" s="5"/>
      <c r="E20" s="6"/>
      <c r="F20" s="7" t="str">
        <f aca="false">IF(E20="","",IFERROR(INDEX(Классы!$C$4:$C$33,MATCH(E20,Классы!$B$4:$B$33,0))&amp;"",""))</f>
        <v/>
      </c>
      <c r="G20" s="6"/>
      <c r="H20" s="8" t="str">
        <f aca="false">IF(OR(B20="",G20=""),"",IFERROR(IF(INDEX(Сводка!$C$7:$C$9,MATCH(G20,Сводка!$B$7:$B$9,0))="","",INDEX(Сводка!$C$7:$C$9,MATCH(G20,Сводка!$B$7:$B$9,0))),""))</f>
        <v/>
      </c>
      <c r="I20" s="9"/>
      <c r="J20" s="8" t="str">
        <f aca="false">IF(H20="","",H20-I20)</f>
        <v/>
      </c>
      <c r="K20" s="4" t="str">
        <f aca="false">IF(B20="","",IF(G20="","Пакет не выбран",IF(H20="","",IF(I20&gt;=H20,"Оплачено",IF(I20&gt;0,"Частично","Не оплачено")))))</f>
        <v/>
      </c>
      <c r="L20" s="4" t="str">
        <f aca="false">IF(B20="","",IF(K20="Оплачено","Да","Нет"))</f>
        <v/>
      </c>
      <c r="M20" s="5"/>
    </row>
    <row r="21" customFormat="false" ht="15" hidden="false" customHeight="false" outlineLevel="0" collapsed="false">
      <c r="A21" s="4" t="str">
        <f aca="false">IF(B21="","",ROW()-4)</f>
        <v/>
      </c>
      <c r="B21" s="5"/>
      <c r="C21" s="5"/>
      <c r="D21" s="5"/>
      <c r="E21" s="6"/>
      <c r="F21" s="7" t="str">
        <f aca="false">IF(E21="","",IFERROR(INDEX(Классы!$C$4:$C$33,MATCH(E21,Классы!$B$4:$B$33,0))&amp;"",""))</f>
        <v/>
      </c>
      <c r="G21" s="6"/>
      <c r="H21" s="8" t="str">
        <f aca="false">IF(OR(B21="",G21=""),"",IFERROR(IF(INDEX(Сводка!$C$7:$C$9,MATCH(G21,Сводка!$B$7:$B$9,0))="","",INDEX(Сводка!$C$7:$C$9,MATCH(G21,Сводка!$B$7:$B$9,0))),""))</f>
        <v/>
      </c>
      <c r="I21" s="9"/>
      <c r="J21" s="8" t="str">
        <f aca="false">IF(H21="","",H21-I21)</f>
        <v/>
      </c>
      <c r="K21" s="4" t="str">
        <f aca="false">IF(B21="","",IF(G21="","Пакет не выбран",IF(H21="","",IF(I21&gt;=H21,"Оплачено",IF(I21&gt;0,"Частично","Не оплачено")))))</f>
        <v/>
      </c>
      <c r="L21" s="4" t="str">
        <f aca="false">IF(B21="","",IF(K21="Оплачено","Да","Нет"))</f>
        <v/>
      </c>
      <c r="M21" s="5"/>
    </row>
    <row r="22" customFormat="false" ht="15" hidden="false" customHeight="false" outlineLevel="0" collapsed="false">
      <c r="A22" s="4" t="str">
        <f aca="false">IF(B22="","",ROW()-4)</f>
        <v/>
      </c>
      <c r="B22" s="5"/>
      <c r="C22" s="5"/>
      <c r="D22" s="5"/>
      <c r="E22" s="6"/>
      <c r="F22" s="7" t="str">
        <f aca="false">IF(E22="","",IFERROR(INDEX(Классы!$C$4:$C$33,MATCH(E22,Классы!$B$4:$B$33,0))&amp;"",""))</f>
        <v/>
      </c>
      <c r="G22" s="6"/>
      <c r="H22" s="8" t="str">
        <f aca="false">IF(OR(B22="",G22=""),"",IFERROR(IF(INDEX(Сводка!$C$7:$C$9,MATCH(G22,Сводка!$B$7:$B$9,0))="","",INDEX(Сводка!$C$7:$C$9,MATCH(G22,Сводка!$B$7:$B$9,0))),""))</f>
        <v/>
      </c>
      <c r="I22" s="9"/>
      <c r="J22" s="8" t="str">
        <f aca="false">IF(H22="","",H22-I22)</f>
        <v/>
      </c>
      <c r="K22" s="4" t="str">
        <f aca="false">IF(B22="","",IF(G22="","Пакет не выбран",IF(H22="","",IF(I22&gt;=H22,"Оплачено",IF(I22&gt;0,"Частично","Не оплачено")))))</f>
        <v/>
      </c>
      <c r="L22" s="4" t="str">
        <f aca="false">IF(B22="","",IF(K22="Оплачено","Да","Нет"))</f>
        <v/>
      </c>
      <c r="M22" s="5"/>
    </row>
    <row r="23" customFormat="false" ht="15" hidden="false" customHeight="false" outlineLevel="0" collapsed="false">
      <c r="A23" s="4" t="str">
        <f aca="false">IF(B23="","",ROW()-4)</f>
        <v/>
      </c>
      <c r="B23" s="5"/>
      <c r="C23" s="5"/>
      <c r="D23" s="5"/>
      <c r="E23" s="6"/>
      <c r="F23" s="7" t="str">
        <f aca="false">IF(E23="","",IFERROR(INDEX(Классы!$C$4:$C$33,MATCH(E23,Классы!$B$4:$B$33,0))&amp;"",""))</f>
        <v/>
      </c>
      <c r="G23" s="6"/>
      <c r="H23" s="8" t="str">
        <f aca="false">IF(OR(B23="",G23=""),"",IFERROR(IF(INDEX(Сводка!$C$7:$C$9,MATCH(G23,Сводка!$B$7:$B$9,0))="","",INDEX(Сводка!$C$7:$C$9,MATCH(G23,Сводка!$B$7:$B$9,0))),""))</f>
        <v/>
      </c>
      <c r="I23" s="9"/>
      <c r="J23" s="8" t="str">
        <f aca="false">IF(H23="","",H23-I23)</f>
        <v/>
      </c>
      <c r="K23" s="4" t="str">
        <f aca="false">IF(B23="","",IF(G23="","Пакет не выбран",IF(H23="","",IF(I23&gt;=H23,"Оплачено",IF(I23&gt;0,"Частично","Не оплачено")))))</f>
        <v/>
      </c>
      <c r="L23" s="4" t="str">
        <f aca="false">IF(B23="","",IF(K23="Оплачено","Да","Нет"))</f>
        <v/>
      </c>
      <c r="M23" s="5"/>
    </row>
    <row r="24" customFormat="false" ht="15" hidden="false" customHeight="false" outlineLevel="0" collapsed="false">
      <c r="A24" s="4" t="str">
        <f aca="false">IF(B24="","",ROW()-4)</f>
        <v/>
      </c>
      <c r="B24" s="5"/>
      <c r="C24" s="5"/>
      <c r="D24" s="5"/>
      <c r="E24" s="6"/>
      <c r="F24" s="7" t="str">
        <f aca="false">IF(E24="","",IFERROR(INDEX(Классы!$C$4:$C$33,MATCH(E24,Классы!$B$4:$B$33,0))&amp;"",""))</f>
        <v/>
      </c>
      <c r="G24" s="6"/>
      <c r="H24" s="8" t="str">
        <f aca="false">IF(OR(B24="",G24=""),"",IFERROR(IF(INDEX(Сводка!$C$7:$C$9,MATCH(G24,Сводка!$B$7:$B$9,0))="","",INDEX(Сводка!$C$7:$C$9,MATCH(G24,Сводка!$B$7:$B$9,0))),""))</f>
        <v/>
      </c>
      <c r="I24" s="9"/>
      <c r="J24" s="8" t="str">
        <f aca="false">IF(H24="","",H24-I24)</f>
        <v/>
      </c>
      <c r="K24" s="4" t="str">
        <f aca="false">IF(B24="","",IF(G24="","Пакет не выбран",IF(H24="","",IF(I24&gt;=H24,"Оплачено",IF(I24&gt;0,"Частично","Не оплачено")))))</f>
        <v/>
      </c>
      <c r="L24" s="4" t="str">
        <f aca="false">IF(B24="","",IF(K24="Оплачено","Да","Нет"))</f>
        <v/>
      </c>
      <c r="M24" s="5"/>
    </row>
    <row r="25" customFormat="false" ht="15" hidden="false" customHeight="false" outlineLevel="0" collapsed="false">
      <c r="A25" s="4" t="str">
        <f aca="false">IF(B25="","",ROW()-4)</f>
        <v/>
      </c>
      <c r="B25" s="5"/>
      <c r="C25" s="5"/>
      <c r="D25" s="5"/>
      <c r="E25" s="6"/>
      <c r="F25" s="7" t="str">
        <f aca="false">IF(E25="","",IFERROR(INDEX(Классы!$C$4:$C$33,MATCH(E25,Классы!$B$4:$B$33,0))&amp;"",""))</f>
        <v/>
      </c>
      <c r="G25" s="6"/>
      <c r="H25" s="8" t="str">
        <f aca="false">IF(OR(B25="",G25=""),"",IFERROR(IF(INDEX(Сводка!$C$7:$C$9,MATCH(G25,Сводка!$B$7:$B$9,0))="","",INDEX(Сводка!$C$7:$C$9,MATCH(G25,Сводка!$B$7:$B$9,0))),""))</f>
        <v/>
      </c>
      <c r="I25" s="9"/>
      <c r="J25" s="8" t="str">
        <f aca="false">IF(H25="","",H25-I25)</f>
        <v/>
      </c>
      <c r="K25" s="4" t="str">
        <f aca="false">IF(B25="","",IF(G25="","Пакет не выбран",IF(H25="","",IF(I25&gt;=H25,"Оплачено",IF(I25&gt;0,"Частично","Не оплачено")))))</f>
        <v/>
      </c>
      <c r="L25" s="4" t="str">
        <f aca="false">IF(B25="","",IF(K25="Оплачено","Да","Нет"))</f>
        <v/>
      </c>
      <c r="M25" s="5"/>
    </row>
    <row r="26" customFormat="false" ht="15" hidden="false" customHeight="false" outlineLevel="0" collapsed="false">
      <c r="A26" s="4" t="str">
        <f aca="false">IF(B26="","",ROW()-4)</f>
        <v/>
      </c>
      <c r="B26" s="5"/>
      <c r="C26" s="5"/>
      <c r="D26" s="5"/>
      <c r="E26" s="6"/>
      <c r="F26" s="7" t="str">
        <f aca="false">IF(E26="","",IFERROR(INDEX(Классы!$C$4:$C$33,MATCH(E26,Классы!$B$4:$B$33,0))&amp;"",""))</f>
        <v/>
      </c>
      <c r="G26" s="6"/>
      <c r="H26" s="8" t="str">
        <f aca="false">IF(OR(B26="",G26=""),"",IFERROR(IF(INDEX(Сводка!$C$7:$C$9,MATCH(G26,Сводка!$B$7:$B$9,0))="","",INDEX(Сводка!$C$7:$C$9,MATCH(G26,Сводка!$B$7:$B$9,0))),""))</f>
        <v/>
      </c>
      <c r="I26" s="9"/>
      <c r="J26" s="8" t="str">
        <f aca="false">IF(H26="","",H26-I26)</f>
        <v/>
      </c>
      <c r="K26" s="4" t="str">
        <f aca="false">IF(B26="","",IF(G26="","Пакет не выбран",IF(H26="","",IF(I26&gt;=H26,"Оплачено",IF(I26&gt;0,"Частично","Не оплачено")))))</f>
        <v/>
      </c>
      <c r="L26" s="4" t="str">
        <f aca="false">IF(B26="","",IF(K26="Оплачено","Да","Нет"))</f>
        <v/>
      </c>
      <c r="M26" s="5"/>
    </row>
    <row r="27" customFormat="false" ht="15" hidden="false" customHeight="false" outlineLevel="0" collapsed="false">
      <c r="A27" s="4" t="str">
        <f aca="false">IF(B27="","",ROW()-4)</f>
        <v/>
      </c>
      <c r="B27" s="5"/>
      <c r="C27" s="5"/>
      <c r="D27" s="5"/>
      <c r="E27" s="6"/>
      <c r="F27" s="7" t="str">
        <f aca="false">IF(E27="","",IFERROR(INDEX(Классы!$C$4:$C$33,MATCH(E27,Классы!$B$4:$B$33,0))&amp;"",""))</f>
        <v/>
      </c>
      <c r="G27" s="6"/>
      <c r="H27" s="8" t="str">
        <f aca="false">IF(OR(B27="",G27=""),"",IFERROR(IF(INDEX(Сводка!$C$7:$C$9,MATCH(G27,Сводка!$B$7:$B$9,0))="","",INDEX(Сводка!$C$7:$C$9,MATCH(G27,Сводка!$B$7:$B$9,0))),""))</f>
        <v/>
      </c>
      <c r="I27" s="9"/>
      <c r="J27" s="8" t="str">
        <f aca="false">IF(H27="","",H27-I27)</f>
        <v/>
      </c>
      <c r="K27" s="4" t="str">
        <f aca="false">IF(B27="","",IF(G27="","Пакет не выбран",IF(H27="","",IF(I27&gt;=H27,"Оплачено",IF(I27&gt;0,"Частично","Не оплачено")))))</f>
        <v/>
      </c>
      <c r="L27" s="4" t="str">
        <f aca="false">IF(B27="","",IF(K27="Оплачено","Да","Нет"))</f>
        <v/>
      </c>
      <c r="M27" s="5"/>
    </row>
    <row r="28" customFormat="false" ht="15" hidden="false" customHeight="false" outlineLevel="0" collapsed="false">
      <c r="A28" s="4" t="str">
        <f aca="false">IF(B28="","",ROW()-4)</f>
        <v/>
      </c>
      <c r="B28" s="5"/>
      <c r="C28" s="5"/>
      <c r="D28" s="5"/>
      <c r="E28" s="6"/>
      <c r="F28" s="7" t="str">
        <f aca="false">IF(E28="","",IFERROR(INDEX(Классы!$C$4:$C$33,MATCH(E28,Классы!$B$4:$B$33,0))&amp;"",""))</f>
        <v/>
      </c>
      <c r="G28" s="6"/>
      <c r="H28" s="8" t="str">
        <f aca="false">IF(OR(B28="",G28=""),"",IFERROR(IF(INDEX(Сводка!$C$7:$C$9,MATCH(G28,Сводка!$B$7:$B$9,0))="","",INDEX(Сводка!$C$7:$C$9,MATCH(G28,Сводка!$B$7:$B$9,0))),""))</f>
        <v/>
      </c>
      <c r="I28" s="9"/>
      <c r="J28" s="8" t="str">
        <f aca="false">IF(H28="","",H28-I28)</f>
        <v/>
      </c>
      <c r="K28" s="4" t="str">
        <f aca="false">IF(B28="","",IF(G28="","Пакет не выбран",IF(H28="","",IF(I28&gt;=H28,"Оплачено",IF(I28&gt;0,"Частично","Не оплачено")))))</f>
        <v/>
      </c>
      <c r="L28" s="4" t="str">
        <f aca="false">IF(B28="","",IF(K28="Оплачено","Да","Нет"))</f>
        <v/>
      </c>
      <c r="M28" s="5"/>
    </row>
    <row r="29" customFormat="false" ht="15" hidden="false" customHeight="false" outlineLevel="0" collapsed="false">
      <c r="A29" s="4" t="str">
        <f aca="false">IF(B29="","",ROW()-4)</f>
        <v/>
      </c>
      <c r="B29" s="5"/>
      <c r="C29" s="5"/>
      <c r="D29" s="5"/>
      <c r="E29" s="6"/>
      <c r="F29" s="7" t="str">
        <f aca="false">IF(E29="","",IFERROR(INDEX(Классы!$C$4:$C$33,MATCH(E29,Классы!$B$4:$B$33,0))&amp;"",""))</f>
        <v/>
      </c>
      <c r="G29" s="6"/>
      <c r="H29" s="8" t="str">
        <f aca="false">IF(OR(B29="",G29=""),"",IFERROR(IF(INDEX(Сводка!$C$7:$C$9,MATCH(G29,Сводка!$B$7:$B$9,0))="","",INDEX(Сводка!$C$7:$C$9,MATCH(G29,Сводка!$B$7:$B$9,0))),""))</f>
        <v/>
      </c>
      <c r="I29" s="9"/>
      <c r="J29" s="8" t="str">
        <f aca="false">IF(H29="","",H29-I29)</f>
        <v/>
      </c>
      <c r="K29" s="4" t="str">
        <f aca="false">IF(B29="","",IF(G29="","Пакет не выбран",IF(H29="","",IF(I29&gt;=H29,"Оплачено",IF(I29&gt;0,"Частично","Не оплачено")))))</f>
        <v/>
      </c>
      <c r="L29" s="4" t="str">
        <f aca="false">IF(B29="","",IF(K29="Оплачено","Да","Нет"))</f>
        <v/>
      </c>
      <c r="M29" s="5"/>
    </row>
    <row r="30" customFormat="false" ht="15" hidden="false" customHeight="false" outlineLevel="0" collapsed="false">
      <c r="A30" s="4" t="str">
        <f aca="false">IF(B30="","",ROW()-4)</f>
        <v/>
      </c>
      <c r="B30" s="5"/>
      <c r="C30" s="5"/>
      <c r="D30" s="5"/>
      <c r="E30" s="6"/>
      <c r="F30" s="7" t="str">
        <f aca="false">IF(E30="","",IFERROR(INDEX(Классы!$C$4:$C$33,MATCH(E30,Классы!$B$4:$B$33,0))&amp;"",""))</f>
        <v/>
      </c>
      <c r="G30" s="6"/>
      <c r="H30" s="8" t="str">
        <f aca="false">IF(OR(B30="",G30=""),"",IFERROR(IF(INDEX(Сводка!$C$7:$C$9,MATCH(G30,Сводка!$B$7:$B$9,0))="","",INDEX(Сводка!$C$7:$C$9,MATCH(G30,Сводка!$B$7:$B$9,0))),""))</f>
        <v/>
      </c>
      <c r="I30" s="9"/>
      <c r="J30" s="8" t="str">
        <f aca="false">IF(H30="","",H30-I30)</f>
        <v/>
      </c>
      <c r="K30" s="4" t="str">
        <f aca="false">IF(B30="","",IF(G30="","Пакет не выбран",IF(H30="","",IF(I30&gt;=H30,"Оплачено",IF(I30&gt;0,"Частично","Не оплачено")))))</f>
        <v/>
      </c>
      <c r="L30" s="4" t="str">
        <f aca="false">IF(B30="","",IF(K30="Оплачено","Да","Нет"))</f>
        <v/>
      </c>
      <c r="M30" s="5"/>
    </row>
    <row r="31" customFormat="false" ht="15" hidden="false" customHeight="false" outlineLevel="0" collapsed="false">
      <c r="A31" s="4" t="str">
        <f aca="false">IF(B31="","",ROW()-4)</f>
        <v/>
      </c>
      <c r="B31" s="5"/>
      <c r="C31" s="5"/>
      <c r="D31" s="5"/>
      <c r="E31" s="6"/>
      <c r="F31" s="7" t="str">
        <f aca="false">IF(E31="","",IFERROR(INDEX(Классы!$C$4:$C$33,MATCH(E31,Классы!$B$4:$B$33,0))&amp;"",""))</f>
        <v/>
      </c>
      <c r="G31" s="6"/>
      <c r="H31" s="8" t="str">
        <f aca="false">IF(OR(B31="",G31=""),"",IFERROR(IF(INDEX(Сводка!$C$7:$C$9,MATCH(G31,Сводка!$B$7:$B$9,0))="","",INDEX(Сводка!$C$7:$C$9,MATCH(G31,Сводка!$B$7:$B$9,0))),""))</f>
        <v/>
      </c>
      <c r="I31" s="9"/>
      <c r="J31" s="8" t="str">
        <f aca="false">IF(H31="","",H31-I31)</f>
        <v/>
      </c>
      <c r="K31" s="4" t="str">
        <f aca="false">IF(B31="","",IF(G31="","Пакет не выбран",IF(H31="","",IF(I31&gt;=H31,"Оплачено",IF(I31&gt;0,"Частично","Не оплачено")))))</f>
        <v/>
      </c>
      <c r="L31" s="4" t="str">
        <f aca="false">IF(B31="","",IF(K31="Оплачено","Да","Нет"))</f>
        <v/>
      </c>
      <c r="M31" s="5"/>
    </row>
    <row r="32" customFormat="false" ht="15" hidden="false" customHeight="false" outlineLevel="0" collapsed="false">
      <c r="A32" s="4" t="str">
        <f aca="false">IF(B32="","",ROW()-4)</f>
        <v/>
      </c>
      <c r="B32" s="5"/>
      <c r="C32" s="5"/>
      <c r="D32" s="5"/>
      <c r="E32" s="6"/>
      <c r="F32" s="7" t="str">
        <f aca="false">IF(E32="","",IFERROR(INDEX(Классы!$C$4:$C$33,MATCH(E32,Классы!$B$4:$B$33,0))&amp;"",""))</f>
        <v/>
      </c>
      <c r="G32" s="6"/>
      <c r="H32" s="8" t="str">
        <f aca="false">IF(OR(B32="",G32=""),"",IFERROR(IF(INDEX(Сводка!$C$7:$C$9,MATCH(G32,Сводка!$B$7:$B$9,0))="","",INDEX(Сводка!$C$7:$C$9,MATCH(G32,Сводка!$B$7:$B$9,0))),""))</f>
        <v/>
      </c>
      <c r="I32" s="9"/>
      <c r="J32" s="8" t="str">
        <f aca="false">IF(H32="","",H32-I32)</f>
        <v/>
      </c>
      <c r="K32" s="4" t="str">
        <f aca="false">IF(B32="","",IF(G32="","Пакет не выбран",IF(H32="","",IF(I32&gt;=H32,"Оплачено",IF(I32&gt;0,"Частично","Не оплачено")))))</f>
        <v/>
      </c>
      <c r="L32" s="4" t="str">
        <f aca="false">IF(B32="","",IF(K32="Оплачено","Да","Нет"))</f>
        <v/>
      </c>
      <c r="M32" s="5"/>
    </row>
    <row r="33" customFormat="false" ht="15" hidden="false" customHeight="false" outlineLevel="0" collapsed="false">
      <c r="A33" s="4" t="str">
        <f aca="false">IF(B33="","",ROW()-4)</f>
        <v/>
      </c>
      <c r="B33" s="5"/>
      <c r="C33" s="5"/>
      <c r="D33" s="5"/>
      <c r="E33" s="6"/>
      <c r="F33" s="7" t="str">
        <f aca="false">IF(E33="","",IFERROR(INDEX(Классы!$C$4:$C$33,MATCH(E33,Классы!$B$4:$B$33,0))&amp;"",""))</f>
        <v/>
      </c>
      <c r="G33" s="6"/>
      <c r="H33" s="8" t="str">
        <f aca="false">IF(OR(B33="",G33=""),"",IFERROR(IF(INDEX(Сводка!$C$7:$C$9,MATCH(G33,Сводка!$B$7:$B$9,0))="","",INDEX(Сводка!$C$7:$C$9,MATCH(G33,Сводка!$B$7:$B$9,0))),""))</f>
        <v/>
      </c>
      <c r="I33" s="9"/>
      <c r="J33" s="8" t="str">
        <f aca="false">IF(H33="","",H33-I33)</f>
        <v/>
      </c>
      <c r="K33" s="4" t="str">
        <f aca="false">IF(B33="","",IF(G33="","Пакет не выбран",IF(H33="","",IF(I33&gt;=H33,"Оплачено",IF(I33&gt;0,"Частично","Не оплачено")))))</f>
        <v/>
      </c>
      <c r="L33" s="4" t="str">
        <f aca="false">IF(B33="","",IF(K33="Оплачено","Да","Нет"))</f>
        <v/>
      </c>
      <c r="M33" s="5"/>
    </row>
    <row r="34" customFormat="false" ht="15" hidden="false" customHeight="false" outlineLevel="0" collapsed="false">
      <c r="A34" s="4" t="str">
        <f aca="false">IF(B34="","",ROW()-4)</f>
        <v/>
      </c>
      <c r="B34" s="5"/>
      <c r="C34" s="5"/>
      <c r="D34" s="5"/>
      <c r="E34" s="6"/>
      <c r="F34" s="7" t="str">
        <f aca="false">IF(E34="","",IFERROR(INDEX(Классы!$C$4:$C$33,MATCH(E34,Классы!$B$4:$B$33,0))&amp;"",""))</f>
        <v/>
      </c>
      <c r="G34" s="6"/>
      <c r="H34" s="8" t="str">
        <f aca="false">IF(OR(B34="",G34=""),"",IFERROR(IF(INDEX(Сводка!$C$7:$C$9,MATCH(G34,Сводка!$B$7:$B$9,0))="","",INDEX(Сводка!$C$7:$C$9,MATCH(G34,Сводка!$B$7:$B$9,0))),""))</f>
        <v/>
      </c>
      <c r="I34" s="9"/>
      <c r="J34" s="8" t="str">
        <f aca="false">IF(H34="","",H34-I34)</f>
        <v/>
      </c>
      <c r="K34" s="4" t="str">
        <f aca="false">IF(B34="","",IF(G34="","Пакет не выбран",IF(H34="","",IF(I34&gt;=H34,"Оплачено",IF(I34&gt;0,"Частично","Не оплачено")))))</f>
        <v/>
      </c>
      <c r="L34" s="4" t="str">
        <f aca="false">IF(B34="","",IF(K34="Оплачено","Да","Нет"))</f>
        <v/>
      </c>
      <c r="M34" s="5"/>
    </row>
    <row r="35" customFormat="false" ht="15" hidden="false" customHeight="false" outlineLevel="0" collapsed="false">
      <c r="A35" s="4" t="str">
        <f aca="false">IF(B35="","",ROW()-4)</f>
        <v/>
      </c>
      <c r="B35" s="5"/>
      <c r="C35" s="5"/>
      <c r="D35" s="5"/>
      <c r="E35" s="6"/>
      <c r="F35" s="7" t="str">
        <f aca="false">IF(E35="","",IFERROR(INDEX(Классы!$C$4:$C$33,MATCH(E35,Классы!$B$4:$B$33,0))&amp;"",""))</f>
        <v/>
      </c>
      <c r="G35" s="6"/>
      <c r="H35" s="8" t="str">
        <f aca="false">IF(OR(B35="",G35=""),"",IFERROR(IF(INDEX(Сводка!$C$7:$C$9,MATCH(G35,Сводка!$B$7:$B$9,0))="","",INDEX(Сводка!$C$7:$C$9,MATCH(G35,Сводка!$B$7:$B$9,0))),""))</f>
        <v/>
      </c>
      <c r="I35" s="9"/>
      <c r="J35" s="8" t="str">
        <f aca="false">IF(H35="","",H35-I35)</f>
        <v/>
      </c>
      <c r="K35" s="4" t="str">
        <f aca="false">IF(B35="","",IF(G35="","Пакет не выбран",IF(H35="","",IF(I35&gt;=H35,"Оплачено",IF(I35&gt;0,"Частично","Не оплачено")))))</f>
        <v/>
      </c>
      <c r="L35" s="4" t="str">
        <f aca="false">IF(B35="","",IF(K35="Оплачено","Да","Нет"))</f>
        <v/>
      </c>
      <c r="M35" s="5"/>
    </row>
    <row r="36" customFormat="false" ht="15" hidden="false" customHeight="false" outlineLevel="0" collapsed="false">
      <c r="A36" s="4" t="str">
        <f aca="false">IF(B36="","",ROW()-4)</f>
        <v/>
      </c>
      <c r="B36" s="5"/>
      <c r="C36" s="5"/>
      <c r="D36" s="5"/>
      <c r="E36" s="6"/>
      <c r="F36" s="7" t="str">
        <f aca="false">IF(E36="","",IFERROR(INDEX(Классы!$C$4:$C$33,MATCH(E36,Классы!$B$4:$B$33,0))&amp;"",""))</f>
        <v/>
      </c>
      <c r="G36" s="6"/>
      <c r="H36" s="8" t="str">
        <f aca="false">IF(OR(B36="",G36=""),"",IFERROR(IF(INDEX(Сводка!$C$7:$C$9,MATCH(G36,Сводка!$B$7:$B$9,0))="","",INDEX(Сводка!$C$7:$C$9,MATCH(G36,Сводка!$B$7:$B$9,0))),""))</f>
        <v/>
      </c>
      <c r="I36" s="9"/>
      <c r="J36" s="8" t="str">
        <f aca="false">IF(H36="","",H36-I36)</f>
        <v/>
      </c>
      <c r="K36" s="4" t="str">
        <f aca="false">IF(B36="","",IF(G36="","Пакет не выбран",IF(H36="","",IF(I36&gt;=H36,"Оплачено",IF(I36&gt;0,"Частично","Не оплачено")))))</f>
        <v/>
      </c>
      <c r="L36" s="4" t="str">
        <f aca="false">IF(B36="","",IF(K36="Оплачено","Да","Нет"))</f>
        <v/>
      </c>
      <c r="M36" s="5"/>
    </row>
    <row r="37" customFormat="false" ht="15" hidden="false" customHeight="false" outlineLevel="0" collapsed="false">
      <c r="A37" s="4" t="str">
        <f aca="false">IF(B37="","",ROW()-4)</f>
        <v/>
      </c>
      <c r="B37" s="5"/>
      <c r="C37" s="5"/>
      <c r="D37" s="5"/>
      <c r="E37" s="6"/>
      <c r="F37" s="7" t="str">
        <f aca="false">IF(E37="","",IFERROR(INDEX(Классы!$C$4:$C$33,MATCH(E37,Классы!$B$4:$B$33,0))&amp;"",""))</f>
        <v/>
      </c>
      <c r="G37" s="6"/>
      <c r="H37" s="8" t="str">
        <f aca="false">IF(OR(B37="",G37=""),"",IFERROR(IF(INDEX(Сводка!$C$7:$C$9,MATCH(G37,Сводка!$B$7:$B$9,0))="","",INDEX(Сводка!$C$7:$C$9,MATCH(G37,Сводка!$B$7:$B$9,0))),""))</f>
        <v/>
      </c>
      <c r="I37" s="9"/>
      <c r="J37" s="8" t="str">
        <f aca="false">IF(H37="","",H37-I37)</f>
        <v/>
      </c>
      <c r="K37" s="4" t="str">
        <f aca="false">IF(B37="","",IF(G37="","Пакет не выбран",IF(H37="","",IF(I37&gt;=H37,"Оплачено",IF(I37&gt;0,"Частично","Не оплачено")))))</f>
        <v/>
      </c>
      <c r="L37" s="4" t="str">
        <f aca="false">IF(B37="","",IF(K37="Оплачено","Да","Нет"))</f>
        <v/>
      </c>
      <c r="M37" s="5"/>
    </row>
    <row r="38" customFormat="false" ht="15" hidden="false" customHeight="false" outlineLevel="0" collapsed="false">
      <c r="A38" s="4" t="str">
        <f aca="false">IF(B38="","",ROW()-4)</f>
        <v/>
      </c>
      <c r="B38" s="5"/>
      <c r="C38" s="5"/>
      <c r="D38" s="5"/>
      <c r="E38" s="6"/>
      <c r="F38" s="7" t="str">
        <f aca="false">IF(E38="","",IFERROR(INDEX(Классы!$C$4:$C$33,MATCH(E38,Классы!$B$4:$B$33,0))&amp;"",""))</f>
        <v/>
      </c>
      <c r="G38" s="6"/>
      <c r="H38" s="8" t="str">
        <f aca="false">IF(OR(B38="",G38=""),"",IFERROR(IF(INDEX(Сводка!$C$7:$C$9,MATCH(G38,Сводка!$B$7:$B$9,0))="","",INDEX(Сводка!$C$7:$C$9,MATCH(G38,Сводка!$B$7:$B$9,0))),""))</f>
        <v/>
      </c>
      <c r="I38" s="9"/>
      <c r="J38" s="8" t="str">
        <f aca="false">IF(H38="","",H38-I38)</f>
        <v/>
      </c>
      <c r="K38" s="4" t="str">
        <f aca="false">IF(B38="","",IF(G38="","Пакет не выбран",IF(H38="","",IF(I38&gt;=H38,"Оплачено",IF(I38&gt;0,"Частично","Не оплачено")))))</f>
        <v/>
      </c>
      <c r="L38" s="4" t="str">
        <f aca="false">IF(B38="","",IF(K38="Оплачено","Да","Нет"))</f>
        <v/>
      </c>
      <c r="M38" s="5"/>
    </row>
    <row r="39" customFormat="false" ht="15" hidden="false" customHeight="false" outlineLevel="0" collapsed="false">
      <c r="A39" s="4" t="str">
        <f aca="false">IF(B39="","",ROW()-4)</f>
        <v/>
      </c>
      <c r="B39" s="5"/>
      <c r="C39" s="5"/>
      <c r="D39" s="5"/>
      <c r="E39" s="6"/>
      <c r="F39" s="7" t="str">
        <f aca="false">IF(E39="","",IFERROR(INDEX(Классы!$C$4:$C$33,MATCH(E39,Классы!$B$4:$B$33,0))&amp;"",""))</f>
        <v/>
      </c>
      <c r="G39" s="6"/>
      <c r="H39" s="8" t="str">
        <f aca="false">IF(OR(B39="",G39=""),"",IFERROR(IF(INDEX(Сводка!$C$7:$C$9,MATCH(G39,Сводка!$B$7:$B$9,0))="","",INDEX(Сводка!$C$7:$C$9,MATCH(G39,Сводка!$B$7:$B$9,0))),""))</f>
        <v/>
      </c>
      <c r="I39" s="9"/>
      <c r="J39" s="8" t="str">
        <f aca="false">IF(H39="","",H39-I39)</f>
        <v/>
      </c>
      <c r="K39" s="4" t="str">
        <f aca="false">IF(B39="","",IF(G39="","Пакет не выбран",IF(H39="","",IF(I39&gt;=H39,"Оплачено",IF(I39&gt;0,"Частично","Не оплачено")))))</f>
        <v/>
      </c>
      <c r="L39" s="4" t="str">
        <f aca="false">IF(B39="","",IF(K39="Оплачено","Да","Нет"))</f>
        <v/>
      </c>
      <c r="M39" s="5"/>
    </row>
    <row r="40" customFormat="false" ht="15" hidden="false" customHeight="false" outlineLevel="0" collapsed="false">
      <c r="A40" s="4" t="str">
        <f aca="false">IF(B40="","",ROW()-4)</f>
        <v/>
      </c>
      <c r="B40" s="5"/>
      <c r="C40" s="5"/>
      <c r="D40" s="5"/>
      <c r="E40" s="6"/>
      <c r="F40" s="7" t="str">
        <f aca="false">IF(E40="","",IFERROR(INDEX(Классы!$C$4:$C$33,MATCH(E40,Классы!$B$4:$B$33,0))&amp;"",""))</f>
        <v/>
      </c>
      <c r="G40" s="6"/>
      <c r="H40" s="8" t="str">
        <f aca="false">IF(OR(B40="",G40=""),"",IFERROR(IF(INDEX(Сводка!$C$7:$C$9,MATCH(G40,Сводка!$B$7:$B$9,0))="","",INDEX(Сводка!$C$7:$C$9,MATCH(G40,Сводка!$B$7:$B$9,0))),""))</f>
        <v/>
      </c>
      <c r="I40" s="9"/>
      <c r="J40" s="8" t="str">
        <f aca="false">IF(H40="","",H40-I40)</f>
        <v/>
      </c>
      <c r="K40" s="4" t="str">
        <f aca="false">IF(B40="","",IF(G40="","Пакет не выбран",IF(H40="","",IF(I40&gt;=H40,"Оплачено",IF(I40&gt;0,"Частично","Не оплачено")))))</f>
        <v/>
      </c>
      <c r="L40" s="4" t="str">
        <f aca="false">IF(B40="","",IF(K40="Оплачено","Да","Нет"))</f>
        <v/>
      </c>
      <c r="M40" s="5"/>
    </row>
    <row r="41" customFormat="false" ht="15" hidden="false" customHeight="false" outlineLevel="0" collapsed="false">
      <c r="A41" s="4" t="str">
        <f aca="false">IF(B41="","",ROW()-4)</f>
        <v/>
      </c>
      <c r="B41" s="5"/>
      <c r="C41" s="5"/>
      <c r="D41" s="5"/>
      <c r="E41" s="6"/>
      <c r="F41" s="7" t="str">
        <f aca="false">IF(E41="","",IFERROR(INDEX(Классы!$C$4:$C$33,MATCH(E41,Классы!$B$4:$B$33,0))&amp;"",""))</f>
        <v/>
      </c>
      <c r="G41" s="6"/>
      <c r="H41" s="8" t="str">
        <f aca="false">IF(OR(B41="",G41=""),"",IFERROR(IF(INDEX(Сводка!$C$7:$C$9,MATCH(G41,Сводка!$B$7:$B$9,0))="","",INDEX(Сводка!$C$7:$C$9,MATCH(G41,Сводка!$B$7:$B$9,0))),""))</f>
        <v/>
      </c>
      <c r="I41" s="9"/>
      <c r="J41" s="8" t="str">
        <f aca="false">IF(H41="","",H41-I41)</f>
        <v/>
      </c>
      <c r="K41" s="4" t="str">
        <f aca="false">IF(B41="","",IF(G41="","Пакет не выбран",IF(H41="","",IF(I41&gt;=H41,"Оплачено",IF(I41&gt;0,"Частично","Не оплачено")))))</f>
        <v/>
      </c>
      <c r="L41" s="4" t="str">
        <f aca="false">IF(B41="","",IF(K41="Оплачено","Да","Нет"))</f>
        <v/>
      </c>
      <c r="M41" s="5"/>
    </row>
    <row r="42" customFormat="false" ht="15" hidden="false" customHeight="false" outlineLevel="0" collapsed="false">
      <c r="A42" s="4" t="str">
        <f aca="false">IF(B42="","",ROW()-4)</f>
        <v/>
      </c>
      <c r="B42" s="5"/>
      <c r="C42" s="5"/>
      <c r="D42" s="5"/>
      <c r="E42" s="6"/>
      <c r="F42" s="7" t="str">
        <f aca="false">IF(E42="","",IFERROR(INDEX(Классы!$C$4:$C$33,MATCH(E42,Классы!$B$4:$B$33,0))&amp;"",""))</f>
        <v/>
      </c>
      <c r="G42" s="6"/>
      <c r="H42" s="8" t="str">
        <f aca="false">IF(OR(B42="",G42=""),"",IFERROR(IF(INDEX(Сводка!$C$7:$C$9,MATCH(G42,Сводка!$B$7:$B$9,0))="","",INDEX(Сводка!$C$7:$C$9,MATCH(G42,Сводка!$B$7:$B$9,0))),""))</f>
        <v/>
      </c>
      <c r="I42" s="9"/>
      <c r="J42" s="8" t="str">
        <f aca="false">IF(H42="","",H42-I42)</f>
        <v/>
      </c>
      <c r="K42" s="4" t="str">
        <f aca="false">IF(B42="","",IF(G42="","Пакет не выбран",IF(H42="","",IF(I42&gt;=H42,"Оплачено",IF(I42&gt;0,"Частично","Не оплачено")))))</f>
        <v/>
      </c>
      <c r="L42" s="4" t="str">
        <f aca="false">IF(B42="","",IF(K42="Оплачено","Да","Нет"))</f>
        <v/>
      </c>
      <c r="M42" s="5"/>
    </row>
    <row r="43" customFormat="false" ht="15" hidden="false" customHeight="false" outlineLevel="0" collapsed="false">
      <c r="A43" s="4" t="str">
        <f aca="false">IF(B43="","",ROW()-4)</f>
        <v/>
      </c>
      <c r="B43" s="5"/>
      <c r="C43" s="5"/>
      <c r="D43" s="5"/>
      <c r="E43" s="6"/>
      <c r="F43" s="7" t="str">
        <f aca="false">IF(E43="","",IFERROR(INDEX(Классы!$C$4:$C$33,MATCH(E43,Классы!$B$4:$B$33,0))&amp;"",""))</f>
        <v/>
      </c>
      <c r="G43" s="6"/>
      <c r="H43" s="8" t="str">
        <f aca="false">IF(OR(B43="",G43=""),"",IFERROR(IF(INDEX(Сводка!$C$7:$C$9,MATCH(G43,Сводка!$B$7:$B$9,0))="","",INDEX(Сводка!$C$7:$C$9,MATCH(G43,Сводка!$B$7:$B$9,0))),""))</f>
        <v/>
      </c>
      <c r="I43" s="9"/>
      <c r="J43" s="8" t="str">
        <f aca="false">IF(H43="","",H43-I43)</f>
        <v/>
      </c>
      <c r="K43" s="4" t="str">
        <f aca="false">IF(B43="","",IF(G43="","Пакет не выбран",IF(H43="","",IF(I43&gt;=H43,"Оплачено",IF(I43&gt;0,"Частично","Не оплачено")))))</f>
        <v/>
      </c>
      <c r="L43" s="4" t="str">
        <f aca="false">IF(B43="","",IF(K43="Оплачено","Да","Нет"))</f>
        <v/>
      </c>
      <c r="M43" s="5"/>
    </row>
    <row r="44" customFormat="false" ht="15" hidden="false" customHeight="false" outlineLevel="0" collapsed="false">
      <c r="A44" s="4" t="str">
        <f aca="false">IF(B44="","",ROW()-4)</f>
        <v/>
      </c>
      <c r="B44" s="5"/>
      <c r="C44" s="5"/>
      <c r="D44" s="5"/>
      <c r="E44" s="6"/>
      <c r="F44" s="7" t="str">
        <f aca="false">IF(E44="","",IFERROR(INDEX(Классы!$C$4:$C$33,MATCH(E44,Классы!$B$4:$B$33,0))&amp;"",""))</f>
        <v/>
      </c>
      <c r="G44" s="6"/>
      <c r="H44" s="8" t="str">
        <f aca="false">IF(OR(B44="",G44=""),"",IFERROR(IF(INDEX(Сводка!$C$7:$C$9,MATCH(G44,Сводка!$B$7:$B$9,0))="","",INDEX(Сводка!$C$7:$C$9,MATCH(G44,Сводка!$B$7:$B$9,0))),""))</f>
        <v/>
      </c>
      <c r="I44" s="9"/>
      <c r="J44" s="8" t="str">
        <f aca="false">IF(H44="","",H44-I44)</f>
        <v/>
      </c>
      <c r="K44" s="4" t="str">
        <f aca="false">IF(B44="","",IF(G44="","Пакет не выбран",IF(H44="","",IF(I44&gt;=H44,"Оплачено",IF(I44&gt;0,"Частично","Не оплачено")))))</f>
        <v/>
      </c>
      <c r="L44" s="4" t="str">
        <f aca="false">IF(B44="","",IF(K44="Оплачено","Да","Нет"))</f>
        <v/>
      </c>
      <c r="M44" s="5"/>
    </row>
    <row r="45" customFormat="false" ht="15" hidden="false" customHeight="false" outlineLevel="0" collapsed="false">
      <c r="A45" s="4" t="str">
        <f aca="false">IF(B45="","",ROW()-4)</f>
        <v/>
      </c>
      <c r="B45" s="5"/>
      <c r="C45" s="5"/>
      <c r="D45" s="5"/>
      <c r="E45" s="6"/>
      <c r="F45" s="7" t="str">
        <f aca="false">IF(E45="","",IFERROR(INDEX(Классы!$C$4:$C$33,MATCH(E45,Классы!$B$4:$B$33,0))&amp;"",""))</f>
        <v/>
      </c>
      <c r="G45" s="6"/>
      <c r="H45" s="8" t="str">
        <f aca="false">IF(OR(B45="",G45=""),"",IFERROR(IF(INDEX(Сводка!$C$7:$C$9,MATCH(G45,Сводка!$B$7:$B$9,0))="","",INDEX(Сводка!$C$7:$C$9,MATCH(G45,Сводка!$B$7:$B$9,0))),""))</f>
        <v/>
      </c>
      <c r="I45" s="9"/>
      <c r="J45" s="8" t="str">
        <f aca="false">IF(H45="","",H45-I45)</f>
        <v/>
      </c>
      <c r="K45" s="4" t="str">
        <f aca="false">IF(B45="","",IF(G45="","Пакет не выбран",IF(H45="","",IF(I45&gt;=H45,"Оплачено",IF(I45&gt;0,"Частично","Не оплачено")))))</f>
        <v/>
      </c>
      <c r="L45" s="4" t="str">
        <f aca="false">IF(B45="","",IF(K45="Оплачено","Да","Нет"))</f>
        <v/>
      </c>
      <c r="M45" s="5"/>
    </row>
    <row r="46" customFormat="false" ht="15" hidden="false" customHeight="false" outlineLevel="0" collapsed="false">
      <c r="A46" s="4" t="str">
        <f aca="false">IF(B46="","",ROW()-4)</f>
        <v/>
      </c>
      <c r="B46" s="5"/>
      <c r="C46" s="5"/>
      <c r="D46" s="5"/>
      <c r="E46" s="6"/>
      <c r="F46" s="7" t="str">
        <f aca="false">IF(E46="","",IFERROR(INDEX(Классы!$C$4:$C$33,MATCH(E46,Классы!$B$4:$B$33,0))&amp;"",""))</f>
        <v/>
      </c>
      <c r="G46" s="6"/>
      <c r="H46" s="8" t="str">
        <f aca="false">IF(OR(B46="",G46=""),"",IFERROR(IF(INDEX(Сводка!$C$7:$C$9,MATCH(G46,Сводка!$B$7:$B$9,0))="","",INDEX(Сводка!$C$7:$C$9,MATCH(G46,Сводка!$B$7:$B$9,0))),""))</f>
        <v/>
      </c>
      <c r="I46" s="9"/>
      <c r="J46" s="8" t="str">
        <f aca="false">IF(H46="","",H46-I46)</f>
        <v/>
      </c>
      <c r="K46" s="4" t="str">
        <f aca="false">IF(B46="","",IF(G46="","Пакет не выбран",IF(H46="","",IF(I46&gt;=H46,"Оплачено",IF(I46&gt;0,"Частично","Не оплачено")))))</f>
        <v/>
      </c>
      <c r="L46" s="4" t="str">
        <f aca="false">IF(B46="","",IF(K46="Оплачено","Да","Нет"))</f>
        <v/>
      </c>
      <c r="M46" s="5"/>
    </row>
    <row r="47" customFormat="false" ht="15" hidden="false" customHeight="false" outlineLevel="0" collapsed="false">
      <c r="A47" s="4" t="str">
        <f aca="false">IF(B47="","",ROW()-4)</f>
        <v/>
      </c>
      <c r="B47" s="5"/>
      <c r="C47" s="5"/>
      <c r="D47" s="5"/>
      <c r="E47" s="6"/>
      <c r="F47" s="7" t="str">
        <f aca="false">IF(E47="","",IFERROR(INDEX(Классы!$C$4:$C$33,MATCH(E47,Классы!$B$4:$B$33,0))&amp;"",""))</f>
        <v/>
      </c>
      <c r="G47" s="6"/>
      <c r="H47" s="8" t="str">
        <f aca="false">IF(OR(B47="",G47=""),"",IFERROR(IF(INDEX(Сводка!$C$7:$C$9,MATCH(G47,Сводка!$B$7:$B$9,0))="","",INDEX(Сводка!$C$7:$C$9,MATCH(G47,Сводка!$B$7:$B$9,0))),""))</f>
        <v/>
      </c>
      <c r="I47" s="9"/>
      <c r="J47" s="8" t="str">
        <f aca="false">IF(H47="","",H47-I47)</f>
        <v/>
      </c>
      <c r="K47" s="4" t="str">
        <f aca="false">IF(B47="","",IF(G47="","Пакет не выбран",IF(H47="","",IF(I47&gt;=H47,"Оплачено",IF(I47&gt;0,"Частично","Не оплачено")))))</f>
        <v/>
      </c>
      <c r="L47" s="4" t="str">
        <f aca="false">IF(B47="","",IF(K47="Оплачено","Да","Нет"))</f>
        <v/>
      </c>
      <c r="M47" s="5"/>
    </row>
    <row r="48" customFormat="false" ht="15" hidden="false" customHeight="false" outlineLevel="0" collapsed="false">
      <c r="A48" s="4" t="str">
        <f aca="false">IF(B48="","",ROW()-4)</f>
        <v/>
      </c>
      <c r="B48" s="5"/>
      <c r="C48" s="5"/>
      <c r="D48" s="5"/>
      <c r="E48" s="6"/>
      <c r="F48" s="7" t="str">
        <f aca="false">IF(E48="","",IFERROR(INDEX(Классы!$C$4:$C$33,MATCH(E48,Классы!$B$4:$B$33,0))&amp;"",""))</f>
        <v/>
      </c>
      <c r="G48" s="6"/>
      <c r="H48" s="8" t="str">
        <f aca="false">IF(OR(B48="",G48=""),"",IFERROR(IF(INDEX(Сводка!$C$7:$C$9,MATCH(G48,Сводка!$B$7:$B$9,0))="","",INDEX(Сводка!$C$7:$C$9,MATCH(G48,Сводка!$B$7:$B$9,0))),""))</f>
        <v/>
      </c>
      <c r="I48" s="9"/>
      <c r="J48" s="8" t="str">
        <f aca="false">IF(H48="","",H48-I48)</f>
        <v/>
      </c>
      <c r="K48" s="4" t="str">
        <f aca="false">IF(B48="","",IF(G48="","Пакет не выбран",IF(H48="","",IF(I48&gt;=H48,"Оплачено",IF(I48&gt;0,"Частично","Не оплачено")))))</f>
        <v/>
      </c>
      <c r="L48" s="4" t="str">
        <f aca="false">IF(B48="","",IF(K48="Оплачено","Да","Нет"))</f>
        <v/>
      </c>
      <c r="M48" s="5"/>
    </row>
    <row r="49" customFormat="false" ht="15" hidden="false" customHeight="false" outlineLevel="0" collapsed="false">
      <c r="A49" s="4" t="str">
        <f aca="false">IF(B49="","",ROW()-4)</f>
        <v/>
      </c>
      <c r="B49" s="5"/>
      <c r="C49" s="5"/>
      <c r="D49" s="5"/>
      <c r="E49" s="6"/>
      <c r="F49" s="7" t="str">
        <f aca="false">IF(E49="","",IFERROR(INDEX(Классы!$C$4:$C$33,MATCH(E49,Классы!$B$4:$B$33,0))&amp;"",""))</f>
        <v/>
      </c>
      <c r="G49" s="6"/>
      <c r="H49" s="8" t="str">
        <f aca="false">IF(OR(B49="",G49=""),"",IFERROR(IF(INDEX(Сводка!$C$7:$C$9,MATCH(G49,Сводка!$B$7:$B$9,0))="","",INDEX(Сводка!$C$7:$C$9,MATCH(G49,Сводка!$B$7:$B$9,0))),""))</f>
        <v/>
      </c>
      <c r="I49" s="9"/>
      <c r="J49" s="8" t="str">
        <f aca="false">IF(H49="","",H49-I49)</f>
        <v/>
      </c>
      <c r="K49" s="4" t="str">
        <f aca="false">IF(B49="","",IF(G49="","Пакет не выбран",IF(H49="","",IF(I49&gt;=H49,"Оплачено",IF(I49&gt;0,"Частично","Не оплачено")))))</f>
        <v/>
      </c>
      <c r="L49" s="4" t="str">
        <f aca="false">IF(B49="","",IF(K49="Оплачено","Да","Нет"))</f>
        <v/>
      </c>
      <c r="M49" s="5"/>
    </row>
    <row r="50" customFormat="false" ht="15" hidden="false" customHeight="false" outlineLevel="0" collapsed="false">
      <c r="A50" s="4" t="str">
        <f aca="false">IF(B50="","",ROW()-4)</f>
        <v/>
      </c>
      <c r="B50" s="5"/>
      <c r="C50" s="5"/>
      <c r="D50" s="5"/>
      <c r="E50" s="6"/>
      <c r="F50" s="7" t="str">
        <f aca="false">IF(E50="","",IFERROR(INDEX(Классы!$C$4:$C$33,MATCH(E50,Классы!$B$4:$B$33,0))&amp;"",""))</f>
        <v/>
      </c>
      <c r="G50" s="6"/>
      <c r="H50" s="8" t="str">
        <f aca="false">IF(OR(B50="",G50=""),"",IFERROR(IF(INDEX(Сводка!$C$7:$C$9,MATCH(G50,Сводка!$B$7:$B$9,0))="","",INDEX(Сводка!$C$7:$C$9,MATCH(G50,Сводка!$B$7:$B$9,0))),""))</f>
        <v/>
      </c>
      <c r="I50" s="9"/>
      <c r="J50" s="8" t="str">
        <f aca="false">IF(H50="","",H50-I50)</f>
        <v/>
      </c>
      <c r="K50" s="4" t="str">
        <f aca="false">IF(B50="","",IF(G50="","Пакет не выбран",IF(H50="","",IF(I50&gt;=H50,"Оплачено",IF(I50&gt;0,"Частично","Не оплачено")))))</f>
        <v/>
      </c>
      <c r="L50" s="4" t="str">
        <f aca="false">IF(B50="","",IF(K50="Оплачено","Да","Нет"))</f>
        <v/>
      </c>
      <c r="M50" s="5"/>
    </row>
    <row r="51" customFormat="false" ht="15" hidden="false" customHeight="false" outlineLevel="0" collapsed="false">
      <c r="A51" s="4" t="str">
        <f aca="false">IF(B51="","",ROW()-4)</f>
        <v/>
      </c>
      <c r="B51" s="5"/>
      <c r="C51" s="5"/>
      <c r="D51" s="5"/>
      <c r="E51" s="6"/>
      <c r="F51" s="7" t="str">
        <f aca="false">IF(E51="","",IFERROR(INDEX(Классы!$C$4:$C$33,MATCH(E51,Классы!$B$4:$B$33,0))&amp;"",""))</f>
        <v/>
      </c>
      <c r="G51" s="6"/>
      <c r="H51" s="8" t="str">
        <f aca="false">IF(OR(B51="",G51=""),"",IFERROR(IF(INDEX(Сводка!$C$7:$C$9,MATCH(G51,Сводка!$B$7:$B$9,0))="","",INDEX(Сводка!$C$7:$C$9,MATCH(G51,Сводка!$B$7:$B$9,0))),""))</f>
        <v/>
      </c>
      <c r="I51" s="9"/>
      <c r="J51" s="8" t="str">
        <f aca="false">IF(H51="","",H51-I51)</f>
        <v/>
      </c>
      <c r="K51" s="4" t="str">
        <f aca="false">IF(B51="","",IF(G51="","Пакет не выбран",IF(H51="","",IF(I51&gt;=H51,"Оплачено",IF(I51&gt;0,"Частично","Не оплачено")))))</f>
        <v/>
      </c>
      <c r="L51" s="4" t="str">
        <f aca="false">IF(B51="","",IF(K51="Оплачено","Да","Нет"))</f>
        <v/>
      </c>
      <c r="M51" s="5"/>
    </row>
    <row r="52" customFormat="false" ht="15" hidden="false" customHeight="false" outlineLevel="0" collapsed="false">
      <c r="A52" s="4" t="str">
        <f aca="false">IF(B52="","",ROW()-4)</f>
        <v/>
      </c>
      <c r="B52" s="5"/>
      <c r="C52" s="5"/>
      <c r="D52" s="5"/>
      <c r="E52" s="6"/>
      <c r="F52" s="7" t="str">
        <f aca="false">IF(E52="","",IFERROR(INDEX(Классы!$C$4:$C$33,MATCH(E52,Классы!$B$4:$B$33,0))&amp;"",""))</f>
        <v/>
      </c>
      <c r="G52" s="6"/>
      <c r="H52" s="8" t="str">
        <f aca="false">IF(OR(B52="",G52=""),"",IFERROR(IF(INDEX(Сводка!$C$7:$C$9,MATCH(G52,Сводка!$B$7:$B$9,0))="","",INDEX(Сводка!$C$7:$C$9,MATCH(G52,Сводка!$B$7:$B$9,0))),""))</f>
        <v/>
      </c>
      <c r="I52" s="9"/>
      <c r="J52" s="8" t="str">
        <f aca="false">IF(H52="","",H52-I52)</f>
        <v/>
      </c>
      <c r="K52" s="4" t="str">
        <f aca="false">IF(B52="","",IF(G52="","Пакет не выбран",IF(H52="","",IF(I52&gt;=H52,"Оплачено",IF(I52&gt;0,"Частично","Не оплачено")))))</f>
        <v/>
      </c>
      <c r="L52" s="4" t="str">
        <f aca="false">IF(B52="","",IF(K52="Оплачено","Да","Нет"))</f>
        <v/>
      </c>
      <c r="M52" s="5"/>
    </row>
    <row r="53" customFormat="false" ht="15" hidden="false" customHeight="false" outlineLevel="0" collapsed="false">
      <c r="A53" s="4" t="str">
        <f aca="false">IF(B53="","",ROW()-4)</f>
        <v/>
      </c>
      <c r="B53" s="5"/>
      <c r="C53" s="5"/>
      <c r="D53" s="5"/>
      <c r="E53" s="6"/>
      <c r="F53" s="7" t="str">
        <f aca="false">IF(E53="","",IFERROR(INDEX(Классы!$C$4:$C$33,MATCH(E53,Классы!$B$4:$B$33,0))&amp;"",""))</f>
        <v/>
      </c>
      <c r="G53" s="6"/>
      <c r="H53" s="8" t="str">
        <f aca="false">IF(OR(B53="",G53=""),"",IFERROR(IF(INDEX(Сводка!$C$7:$C$9,MATCH(G53,Сводка!$B$7:$B$9,0))="","",INDEX(Сводка!$C$7:$C$9,MATCH(G53,Сводка!$B$7:$B$9,0))),""))</f>
        <v/>
      </c>
      <c r="I53" s="9"/>
      <c r="J53" s="8" t="str">
        <f aca="false">IF(H53="","",H53-I53)</f>
        <v/>
      </c>
      <c r="K53" s="4" t="str">
        <f aca="false">IF(B53="","",IF(G53="","Пакет не выбран",IF(H53="","",IF(I53&gt;=H53,"Оплачено",IF(I53&gt;0,"Частично","Не оплачено")))))</f>
        <v/>
      </c>
      <c r="L53" s="4" t="str">
        <f aca="false">IF(B53="","",IF(K53="Оплачено","Да","Нет"))</f>
        <v/>
      </c>
      <c r="M53" s="5"/>
    </row>
    <row r="54" customFormat="false" ht="15" hidden="false" customHeight="false" outlineLevel="0" collapsed="false">
      <c r="A54" s="4" t="str">
        <f aca="false">IF(B54="","",ROW()-4)</f>
        <v/>
      </c>
      <c r="B54" s="5"/>
      <c r="C54" s="5"/>
      <c r="D54" s="5"/>
      <c r="E54" s="6"/>
      <c r="F54" s="7" t="str">
        <f aca="false">IF(E54="","",IFERROR(INDEX(Классы!$C$4:$C$33,MATCH(E54,Классы!$B$4:$B$33,0))&amp;"",""))</f>
        <v/>
      </c>
      <c r="G54" s="6"/>
      <c r="H54" s="8" t="str">
        <f aca="false">IF(OR(B54="",G54=""),"",IFERROR(IF(INDEX(Сводка!$C$7:$C$9,MATCH(G54,Сводка!$B$7:$B$9,0))="","",INDEX(Сводка!$C$7:$C$9,MATCH(G54,Сводка!$B$7:$B$9,0))),""))</f>
        <v/>
      </c>
      <c r="I54" s="9"/>
      <c r="J54" s="8" t="str">
        <f aca="false">IF(H54="","",H54-I54)</f>
        <v/>
      </c>
      <c r="K54" s="4" t="str">
        <f aca="false">IF(B54="","",IF(G54="","Пакет не выбран",IF(H54="","",IF(I54&gt;=H54,"Оплачено",IF(I54&gt;0,"Частично","Не оплачено")))))</f>
        <v/>
      </c>
      <c r="L54" s="4" t="str">
        <f aca="false">IF(B54="","",IF(K54="Оплачено","Да","Нет"))</f>
        <v/>
      </c>
      <c r="M54" s="5"/>
    </row>
    <row r="55" customFormat="false" ht="15" hidden="false" customHeight="false" outlineLevel="0" collapsed="false">
      <c r="A55" s="4" t="str">
        <f aca="false">IF(B55="","",ROW()-4)</f>
        <v/>
      </c>
      <c r="B55" s="5"/>
      <c r="C55" s="5"/>
      <c r="D55" s="5"/>
      <c r="E55" s="6"/>
      <c r="F55" s="7" t="str">
        <f aca="false">IF(E55="","",IFERROR(INDEX(Классы!$C$4:$C$33,MATCH(E55,Классы!$B$4:$B$33,0))&amp;"",""))</f>
        <v/>
      </c>
      <c r="G55" s="6"/>
      <c r="H55" s="8" t="str">
        <f aca="false">IF(OR(B55="",G55=""),"",IFERROR(IF(INDEX(Сводка!$C$7:$C$9,MATCH(G55,Сводка!$B$7:$B$9,0))="","",INDEX(Сводка!$C$7:$C$9,MATCH(G55,Сводка!$B$7:$B$9,0))),""))</f>
        <v/>
      </c>
      <c r="I55" s="9"/>
      <c r="J55" s="8" t="str">
        <f aca="false">IF(H55="","",H55-I55)</f>
        <v/>
      </c>
      <c r="K55" s="4" t="str">
        <f aca="false">IF(B55="","",IF(G55="","Пакет не выбран",IF(H55="","",IF(I55&gt;=H55,"Оплачено",IF(I55&gt;0,"Частично","Не оплачено")))))</f>
        <v/>
      </c>
      <c r="L55" s="4" t="str">
        <f aca="false">IF(B55="","",IF(K55="Оплачено","Да","Нет"))</f>
        <v/>
      </c>
      <c r="M55" s="5"/>
    </row>
    <row r="56" customFormat="false" ht="15" hidden="false" customHeight="false" outlineLevel="0" collapsed="false">
      <c r="A56" s="4" t="str">
        <f aca="false">IF(B56="","",ROW()-4)</f>
        <v/>
      </c>
      <c r="B56" s="5"/>
      <c r="C56" s="5"/>
      <c r="D56" s="5"/>
      <c r="E56" s="6"/>
      <c r="F56" s="7" t="str">
        <f aca="false">IF(E56="","",IFERROR(INDEX(Классы!$C$4:$C$33,MATCH(E56,Классы!$B$4:$B$33,0))&amp;"",""))</f>
        <v/>
      </c>
      <c r="G56" s="6"/>
      <c r="H56" s="8" t="str">
        <f aca="false">IF(OR(B56="",G56=""),"",IFERROR(IF(INDEX(Сводка!$C$7:$C$9,MATCH(G56,Сводка!$B$7:$B$9,0))="","",INDEX(Сводка!$C$7:$C$9,MATCH(G56,Сводка!$B$7:$B$9,0))),""))</f>
        <v/>
      </c>
      <c r="I56" s="9"/>
      <c r="J56" s="8" t="str">
        <f aca="false">IF(H56="","",H56-I56)</f>
        <v/>
      </c>
      <c r="K56" s="4" t="str">
        <f aca="false">IF(B56="","",IF(G56="","Пакет не выбран",IF(H56="","",IF(I56&gt;=H56,"Оплачено",IF(I56&gt;0,"Частично","Не оплачено")))))</f>
        <v/>
      </c>
      <c r="L56" s="4" t="str">
        <f aca="false">IF(B56="","",IF(K56="Оплачено","Да","Нет"))</f>
        <v/>
      </c>
      <c r="M56" s="5"/>
    </row>
    <row r="57" customFormat="false" ht="15" hidden="false" customHeight="false" outlineLevel="0" collapsed="false">
      <c r="A57" s="4" t="str">
        <f aca="false">IF(B57="","",ROW()-4)</f>
        <v/>
      </c>
      <c r="B57" s="5"/>
      <c r="C57" s="5"/>
      <c r="D57" s="5"/>
      <c r="E57" s="6"/>
      <c r="F57" s="7" t="str">
        <f aca="false">IF(E57="","",IFERROR(INDEX(Классы!$C$4:$C$33,MATCH(E57,Классы!$B$4:$B$33,0))&amp;"",""))</f>
        <v/>
      </c>
      <c r="G57" s="6"/>
      <c r="H57" s="8" t="str">
        <f aca="false">IF(OR(B57="",G57=""),"",IFERROR(IF(INDEX(Сводка!$C$7:$C$9,MATCH(G57,Сводка!$B$7:$B$9,0))="","",INDEX(Сводка!$C$7:$C$9,MATCH(G57,Сводка!$B$7:$B$9,0))),""))</f>
        <v/>
      </c>
      <c r="I57" s="9"/>
      <c r="J57" s="8" t="str">
        <f aca="false">IF(H57="","",H57-I57)</f>
        <v/>
      </c>
      <c r="K57" s="4" t="str">
        <f aca="false">IF(B57="","",IF(G57="","Пакет не выбран",IF(H57="","",IF(I57&gt;=H57,"Оплачено",IF(I57&gt;0,"Частично","Не оплачено")))))</f>
        <v/>
      </c>
      <c r="L57" s="4" t="str">
        <f aca="false">IF(B57="","",IF(K57="Оплачено","Да","Нет"))</f>
        <v/>
      </c>
      <c r="M57" s="5"/>
    </row>
    <row r="58" customFormat="false" ht="15" hidden="false" customHeight="false" outlineLevel="0" collapsed="false">
      <c r="A58" s="4" t="str">
        <f aca="false">IF(B58="","",ROW()-4)</f>
        <v/>
      </c>
      <c r="B58" s="5"/>
      <c r="C58" s="5"/>
      <c r="D58" s="5"/>
      <c r="E58" s="6"/>
      <c r="F58" s="7" t="str">
        <f aca="false">IF(E58="","",IFERROR(INDEX(Классы!$C$4:$C$33,MATCH(E58,Классы!$B$4:$B$33,0))&amp;"",""))</f>
        <v/>
      </c>
      <c r="G58" s="6"/>
      <c r="H58" s="8" t="str">
        <f aca="false">IF(OR(B58="",G58=""),"",IFERROR(IF(INDEX(Сводка!$C$7:$C$9,MATCH(G58,Сводка!$B$7:$B$9,0))="","",INDEX(Сводка!$C$7:$C$9,MATCH(G58,Сводка!$B$7:$B$9,0))),""))</f>
        <v/>
      </c>
      <c r="I58" s="9"/>
      <c r="J58" s="8" t="str">
        <f aca="false">IF(H58="","",H58-I58)</f>
        <v/>
      </c>
      <c r="K58" s="4" t="str">
        <f aca="false">IF(B58="","",IF(G58="","Пакет не выбран",IF(H58="","",IF(I58&gt;=H58,"Оплачено",IF(I58&gt;0,"Частично","Не оплачено")))))</f>
        <v/>
      </c>
      <c r="L58" s="4" t="str">
        <f aca="false">IF(B58="","",IF(K58="Оплачено","Да","Нет"))</f>
        <v/>
      </c>
      <c r="M58" s="5"/>
    </row>
    <row r="59" customFormat="false" ht="15" hidden="false" customHeight="false" outlineLevel="0" collapsed="false">
      <c r="A59" s="4" t="str">
        <f aca="false">IF(B59="","",ROW()-4)</f>
        <v/>
      </c>
      <c r="B59" s="5"/>
      <c r="C59" s="5"/>
      <c r="D59" s="5"/>
      <c r="E59" s="6"/>
      <c r="F59" s="7" t="str">
        <f aca="false">IF(E59="","",IFERROR(INDEX(Классы!$C$4:$C$33,MATCH(E59,Классы!$B$4:$B$33,0))&amp;"",""))</f>
        <v/>
      </c>
      <c r="G59" s="6"/>
      <c r="H59" s="8" t="str">
        <f aca="false">IF(OR(B59="",G59=""),"",IFERROR(IF(INDEX(Сводка!$C$7:$C$9,MATCH(G59,Сводка!$B$7:$B$9,0))="","",INDEX(Сводка!$C$7:$C$9,MATCH(G59,Сводка!$B$7:$B$9,0))),""))</f>
        <v/>
      </c>
      <c r="I59" s="9"/>
      <c r="J59" s="8" t="str">
        <f aca="false">IF(H59="","",H59-I59)</f>
        <v/>
      </c>
      <c r="K59" s="4" t="str">
        <f aca="false">IF(B59="","",IF(G59="","Пакет не выбран",IF(H59="","",IF(I59&gt;=H59,"Оплачено",IF(I59&gt;0,"Частично","Не оплачено")))))</f>
        <v/>
      </c>
      <c r="L59" s="4" t="str">
        <f aca="false">IF(B59="","",IF(K59="Оплачено","Да","Нет"))</f>
        <v/>
      </c>
      <c r="M59" s="5"/>
    </row>
    <row r="60" customFormat="false" ht="15" hidden="false" customHeight="false" outlineLevel="0" collapsed="false">
      <c r="A60" s="4" t="str">
        <f aca="false">IF(B60="","",ROW()-4)</f>
        <v/>
      </c>
      <c r="B60" s="5"/>
      <c r="C60" s="5"/>
      <c r="D60" s="5"/>
      <c r="E60" s="6"/>
      <c r="F60" s="7" t="str">
        <f aca="false">IF(E60="","",IFERROR(INDEX(Классы!$C$4:$C$33,MATCH(E60,Классы!$B$4:$B$33,0))&amp;"",""))</f>
        <v/>
      </c>
      <c r="G60" s="6"/>
      <c r="H60" s="8" t="str">
        <f aca="false">IF(OR(B60="",G60=""),"",IFERROR(IF(INDEX(Сводка!$C$7:$C$9,MATCH(G60,Сводка!$B$7:$B$9,0))="","",INDEX(Сводка!$C$7:$C$9,MATCH(G60,Сводка!$B$7:$B$9,0))),""))</f>
        <v/>
      </c>
      <c r="I60" s="9"/>
      <c r="J60" s="8" t="str">
        <f aca="false">IF(H60="","",H60-I60)</f>
        <v/>
      </c>
      <c r="K60" s="4" t="str">
        <f aca="false">IF(B60="","",IF(G60="","Пакет не выбран",IF(H60="","",IF(I60&gt;=H60,"Оплачено",IF(I60&gt;0,"Частично","Не оплачено")))))</f>
        <v/>
      </c>
      <c r="L60" s="4" t="str">
        <f aca="false">IF(B60="","",IF(K60="Оплачено","Да","Нет"))</f>
        <v/>
      </c>
      <c r="M60" s="5"/>
    </row>
    <row r="61" customFormat="false" ht="15" hidden="false" customHeight="false" outlineLevel="0" collapsed="false">
      <c r="A61" s="4" t="str">
        <f aca="false">IF(B61="","",ROW()-4)</f>
        <v/>
      </c>
      <c r="B61" s="5"/>
      <c r="C61" s="5"/>
      <c r="D61" s="5"/>
      <c r="E61" s="6"/>
      <c r="F61" s="7" t="str">
        <f aca="false">IF(E61="","",IFERROR(INDEX(Классы!$C$4:$C$33,MATCH(E61,Классы!$B$4:$B$33,0))&amp;"",""))</f>
        <v/>
      </c>
      <c r="G61" s="6"/>
      <c r="H61" s="8" t="str">
        <f aca="false">IF(OR(B61="",G61=""),"",IFERROR(IF(INDEX(Сводка!$C$7:$C$9,MATCH(G61,Сводка!$B$7:$B$9,0))="","",INDEX(Сводка!$C$7:$C$9,MATCH(G61,Сводка!$B$7:$B$9,0))),""))</f>
        <v/>
      </c>
      <c r="I61" s="9"/>
      <c r="J61" s="8" t="str">
        <f aca="false">IF(H61="","",H61-I61)</f>
        <v/>
      </c>
      <c r="K61" s="4" t="str">
        <f aca="false">IF(B61="","",IF(G61="","Пакет не выбран",IF(H61="","",IF(I61&gt;=H61,"Оплачено",IF(I61&gt;0,"Частично","Не оплачено")))))</f>
        <v/>
      </c>
      <c r="L61" s="4" t="str">
        <f aca="false">IF(B61="","",IF(K61="Оплачено","Да","Нет"))</f>
        <v/>
      </c>
      <c r="M61" s="5"/>
    </row>
    <row r="62" customFormat="false" ht="15" hidden="false" customHeight="false" outlineLevel="0" collapsed="false">
      <c r="A62" s="4" t="str">
        <f aca="false">IF(B62="","",ROW()-4)</f>
        <v/>
      </c>
      <c r="B62" s="5"/>
      <c r="C62" s="5"/>
      <c r="D62" s="5"/>
      <c r="E62" s="6"/>
      <c r="F62" s="7" t="str">
        <f aca="false">IF(E62="","",IFERROR(INDEX(Классы!$C$4:$C$33,MATCH(E62,Классы!$B$4:$B$33,0))&amp;"",""))</f>
        <v/>
      </c>
      <c r="G62" s="6"/>
      <c r="H62" s="8" t="str">
        <f aca="false">IF(OR(B62="",G62=""),"",IFERROR(IF(INDEX(Сводка!$C$7:$C$9,MATCH(G62,Сводка!$B$7:$B$9,0))="","",INDEX(Сводка!$C$7:$C$9,MATCH(G62,Сводка!$B$7:$B$9,0))),""))</f>
        <v/>
      </c>
      <c r="I62" s="9"/>
      <c r="J62" s="8" t="str">
        <f aca="false">IF(H62="","",H62-I62)</f>
        <v/>
      </c>
      <c r="K62" s="4" t="str">
        <f aca="false">IF(B62="","",IF(G62="","Пакет не выбран",IF(H62="","",IF(I62&gt;=H62,"Оплачено",IF(I62&gt;0,"Частично","Не оплачено")))))</f>
        <v/>
      </c>
      <c r="L62" s="4" t="str">
        <f aca="false">IF(B62="","",IF(K62="Оплачено","Да","Нет"))</f>
        <v/>
      </c>
      <c r="M62" s="5"/>
    </row>
    <row r="63" customFormat="false" ht="15" hidden="false" customHeight="false" outlineLevel="0" collapsed="false">
      <c r="A63" s="4" t="str">
        <f aca="false">IF(B63="","",ROW()-4)</f>
        <v/>
      </c>
      <c r="B63" s="5"/>
      <c r="C63" s="5"/>
      <c r="D63" s="5"/>
      <c r="E63" s="6"/>
      <c r="F63" s="7" t="str">
        <f aca="false">IF(E63="","",IFERROR(INDEX(Классы!$C$4:$C$33,MATCH(E63,Классы!$B$4:$B$33,0))&amp;"",""))</f>
        <v/>
      </c>
      <c r="G63" s="6"/>
      <c r="H63" s="8" t="str">
        <f aca="false">IF(OR(B63="",G63=""),"",IFERROR(IF(INDEX(Сводка!$C$7:$C$9,MATCH(G63,Сводка!$B$7:$B$9,0))="","",INDEX(Сводка!$C$7:$C$9,MATCH(G63,Сводка!$B$7:$B$9,0))),""))</f>
        <v/>
      </c>
      <c r="I63" s="9"/>
      <c r="J63" s="8" t="str">
        <f aca="false">IF(H63="","",H63-I63)</f>
        <v/>
      </c>
      <c r="K63" s="4" t="str">
        <f aca="false">IF(B63="","",IF(G63="","Пакет не выбран",IF(H63="","",IF(I63&gt;=H63,"Оплачено",IF(I63&gt;0,"Частично","Не оплачено")))))</f>
        <v/>
      </c>
      <c r="L63" s="4" t="str">
        <f aca="false">IF(B63="","",IF(K63="Оплачено","Да","Нет"))</f>
        <v/>
      </c>
      <c r="M63" s="5"/>
    </row>
    <row r="64" customFormat="false" ht="15" hidden="false" customHeight="false" outlineLevel="0" collapsed="false">
      <c r="A64" s="4" t="str">
        <f aca="false">IF(B64="","",ROW()-4)</f>
        <v/>
      </c>
      <c r="B64" s="5"/>
      <c r="C64" s="5"/>
      <c r="D64" s="5"/>
      <c r="E64" s="6"/>
      <c r="F64" s="7" t="str">
        <f aca="false">IF(E64="","",IFERROR(INDEX(Классы!$C$4:$C$33,MATCH(E64,Классы!$B$4:$B$33,0))&amp;"",""))</f>
        <v/>
      </c>
      <c r="G64" s="6"/>
      <c r="H64" s="8" t="str">
        <f aca="false">IF(OR(B64="",G64=""),"",IFERROR(IF(INDEX(Сводка!$C$7:$C$9,MATCH(G64,Сводка!$B$7:$B$9,0))="","",INDEX(Сводка!$C$7:$C$9,MATCH(G64,Сводка!$B$7:$B$9,0))),""))</f>
        <v/>
      </c>
      <c r="I64" s="9"/>
      <c r="J64" s="8" t="str">
        <f aca="false">IF(H64="","",H64-I64)</f>
        <v/>
      </c>
      <c r="K64" s="4" t="str">
        <f aca="false">IF(B64="","",IF(G64="","Пакет не выбран",IF(H64="","",IF(I64&gt;=H64,"Оплачено",IF(I64&gt;0,"Частично","Не оплачено")))))</f>
        <v/>
      </c>
      <c r="L64" s="4" t="str">
        <f aca="false">IF(B64="","",IF(K64="Оплачено","Да","Нет"))</f>
        <v/>
      </c>
      <c r="M64" s="5"/>
    </row>
    <row r="65" customFormat="false" ht="15" hidden="false" customHeight="false" outlineLevel="0" collapsed="false">
      <c r="A65" s="4" t="str">
        <f aca="false">IF(B65="","",ROW()-4)</f>
        <v/>
      </c>
      <c r="B65" s="5"/>
      <c r="C65" s="5"/>
      <c r="D65" s="5"/>
      <c r="E65" s="6"/>
      <c r="F65" s="7" t="str">
        <f aca="false">IF(E65="","",IFERROR(INDEX(Классы!$C$4:$C$33,MATCH(E65,Классы!$B$4:$B$33,0))&amp;"",""))</f>
        <v/>
      </c>
      <c r="G65" s="6"/>
      <c r="H65" s="8" t="str">
        <f aca="false">IF(OR(B65="",G65=""),"",IFERROR(IF(INDEX(Сводка!$C$7:$C$9,MATCH(G65,Сводка!$B$7:$B$9,0))="","",INDEX(Сводка!$C$7:$C$9,MATCH(G65,Сводка!$B$7:$B$9,0))),""))</f>
        <v/>
      </c>
      <c r="I65" s="9"/>
      <c r="J65" s="8" t="str">
        <f aca="false">IF(H65="","",H65-I65)</f>
        <v/>
      </c>
      <c r="K65" s="4" t="str">
        <f aca="false">IF(B65="","",IF(G65="","Пакет не выбран",IF(H65="","",IF(I65&gt;=H65,"Оплачено",IF(I65&gt;0,"Частично","Не оплачено")))))</f>
        <v/>
      </c>
      <c r="L65" s="4" t="str">
        <f aca="false">IF(B65="","",IF(K65="Оплачено","Да","Нет"))</f>
        <v/>
      </c>
      <c r="M65" s="5"/>
    </row>
    <row r="66" customFormat="false" ht="15" hidden="false" customHeight="false" outlineLevel="0" collapsed="false">
      <c r="A66" s="4" t="str">
        <f aca="false">IF(B66="","",ROW()-4)</f>
        <v/>
      </c>
      <c r="B66" s="5"/>
      <c r="C66" s="5"/>
      <c r="D66" s="5"/>
      <c r="E66" s="6"/>
      <c r="F66" s="7" t="str">
        <f aca="false">IF(E66="","",IFERROR(INDEX(Классы!$C$4:$C$33,MATCH(E66,Классы!$B$4:$B$33,0))&amp;"",""))</f>
        <v/>
      </c>
      <c r="G66" s="6"/>
      <c r="H66" s="8" t="str">
        <f aca="false">IF(OR(B66="",G66=""),"",IFERROR(IF(INDEX(Сводка!$C$7:$C$9,MATCH(G66,Сводка!$B$7:$B$9,0))="","",INDEX(Сводка!$C$7:$C$9,MATCH(G66,Сводка!$B$7:$B$9,0))),""))</f>
        <v/>
      </c>
      <c r="I66" s="9"/>
      <c r="J66" s="8" t="str">
        <f aca="false">IF(H66="","",H66-I66)</f>
        <v/>
      </c>
      <c r="K66" s="4" t="str">
        <f aca="false">IF(B66="","",IF(G66="","Пакет не выбран",IF(H66="","",IF(I66&gt;=H66,"Оплачено",IF(I66&gt;0,"Частично","Не оплачено")))))</f>
        <v/>
      </c>
      <c r="L66" s="4" t="str">
        <f aca="false">IF(B66="","",IF(K66="Оплачено","Да","Нет"))</f>
        <v/>
      </c>
      <c r="M66" s="5"/>
    </row>
    <row r="67" customFormat="false" ht="15" hidden="false" customHeight="false" outlineLevel="0" collapsed="false">
      <c r="A67" s="4" t="str">
        <f aca="false">IF(B67="","",ROW()-4)</f>
        <v/>
      </c>
      <c r="B67" s="5"/>
      <c r="C67" s="5"/>
      <c r="D67" s="5"/>
      <c r="E67" s="6"/>
      <c r="F67" s="7" t="str">
        <f aca="false">IF(E67="","",IFERROR(INDEX(Классы!$C$4:$C$33,MATCH(E67,Классы!$B$4:$B$33,0))&amp;"",""))</f>
        <v/>
      </c>
      <c r="G67" s="6"/>
      <c r="H67" s="8" t="str">
        <f aca="false">IF(OR(B67="",G67=""),"",IFERROR(IF(INDEX(Сводка!$C$7:$C$9,MATCH(G67,Сводка!$B$7:$B$9,0))="","",INDEX(Сводка!$C$7:$C$9,MATCH(G67,Сводка!$B$7:$B$9,0))),""))</f>
        <v/>
      </c>
      <c r="I67" s="9"/>
      <c r="J67" s="8" t="str">
        <f aca="false">IF(H67="","",H67-I67)</f>
        <v/>
      </c>
      <c r="K67" s="4" t="str">
        <f aca="false">IF(B67="","",IF(G67="","Пакет не выбран",IF(H67="","",IF(I67&gt;=H67,"Оплачено",IF(I67&gt;0,"Частично","Не оплачено")))))</f>
        <v/>
      </c>
      <c r="L67" s="4" t="str">
        <f aca="false">IF(B67="","",IF(K67="Оплачено","Да","Нет"))</f>
        <v/>
      </c>
      <c r="M67" s="5"/>
    </row>
    <row r="68" customFormat="false" ht="15" hidden="false" customHeight="false" outlineLevel="0" collapsed="false">
      <c r="A68" s="4" t="str">
        <f aca="false">IF(B68="","",ROW()-4)</f>
        <v/>
      </c>
      <c r="B68" s="5"/>
      <c r="C68" s="5"/>
      <c r="D68" s="5"/>
      <c r="E68" s="6"/>
      <c r="F68" s="7" t="str">
        <f aca="false">IF(E68="","",IFERROR(INDEX(Классы!$C$4:$C$33,MATCH(E68,Классы!$B$4:$B$33,0))&amp;"",""))</f>
        <v/>
      </c>
      <c r="G68" s="6"/>
      <c r="H68" s="8" t="str">
        <f aca="false">IF(OR(B68="",G68=""),"",IFERROR(IF(INDEX(Сводка!$C$7:$C$9,MATCH(G68,Сводка!$B$7:$B$9,0))="","",INDEX(Сводка!$C$7:$C$9,MATCH(G68,Сводка!$B$7:$B$9,0))),""))</f>
        <v/>
      </c>
      <c r="I68" s="9"/>
      <c r="J68" s="8" t="str">
        <f aca="false">IF(H68="","",H68-I68)</f>
        <v/>
      </c>
      <c r="K68" s="4" t="str">
        <f aca="false">IF(B68="","",IF(G68="","Пакет не выбран",IF(H68="","",IF(I68&gt;=H68,"Оплачено",IF(I68&gt;0,"Частично","Не оплачено")))))</f>
        <v/>
      </c>
      <c r="L68" s="4" t="str">
        <f aca="false">IF(B68="","",IF(K68="Оплачено","Да","Нет"))</f>
        <v/>
      </c>
      <c r="M68" s="5"/>
    </row>
    <row r="69" customFormat="false" ht="15" hidden="false" customHeight="false" outlineLevel="0" collapsed="false">
      <c r="A69" s="4" t="str">
        <f aca="false">IF(B69="","",ROW()-4)</f>
        <v/>
      </c>
      <c r="B69" s="5"/>
      <c r="C69" s="5"/>
      <c r="D69" s="5"/>
      <c r="E69" s="6"/>
      <c r="F69" s="7" t="str">
        <f aca="false">IF(E69="","",IFERROR(INDEX(Классы!$C$4:$C$33,MATCH(E69,Классы!$B$4:$B$33,0))&amp;"",""))</f>
        <v/>
      </c>
      <c r="G69" s="6"/>
      <c r="H69" s="8" t="str">
        <f aca="false">IF(OR(B69="",G69=""),"",IFERROR(IF(INDEX(Сводка!$C$7:$C$9,MATCH(G69,Сводка!$B$7:$B$9,0))="","",INDEX(Сводка!$C$7:$C$9,MATCH(G69,Сводка!$B$7:$B$9,0))),""))</f>
        <v/>
      </c>
      <c r="I69" s="9"/>
      <c r="J69" s="8" t="str">
        <f aca="false">IF(H69="","",H69-I69)</f>
        <v/>
      </c>
      <c r="K69" s="4" t="str">
        <f aca="false">IF(B69="","",IF(G69="","Пакет не выбран",IF(H69="","",IF(I69&gt;=H69,"Оплачено",IF(I69&gt;0,"Частично","Не оплачено")))))</f>
        <v/>
      </c>
      <c r="L69" s="4" t="str">
        <f aca="false">IF(B69="","",IF(K69="Оплачено","Да","Нет"))</f>
        <v/>
      </c>
      <c r="M69" s="5"/>
    </row>
    <row r="70" customFormat="false" ht="15" hidden="false" customHeight="false" outlineLevel="0" collapsed="false">
      <c r="A70" s="4" t="str">
        <f aca="false">IF(B70="","",ROW()-4)</f>
        <v/>
      </c>
      <c r="B70" s="5"/>
      <c r="C70" s="5"/>
      <c r="D70" s="5"/>
      <c r="E70" s="6"/>
      <c r="F70" s="7" t="str">
        <f aca="false">IF(E70="","",IFERROR(INDEX(Классы!$C$4:$C$33,MATCH(E70,Классы!$B$4:$B$33,0))&amp;"",""))</f>
        <v/>
      </c>
      <c r="G70" s="6"/>
      <c r="H70" s="8" t="str">
        <f aca="false">IF(OR(B70="",G70=""),"",IFERROR(IF(INDEX(Сводка!$C$7:$C$9,MATCH(G70,Сводка!$B$7:$B$9,0))="","",INDEX(Сводка!$C$7:$C$9,MATCH(G70,Сводка!$B$7:$B$9,0))),""))</f>
        <v/>
      </c>
      <c r="I70" s="9"/>
      <c r="J70" s="8" t="str">
        <f aca="false">IF(H70="","",H70-I70)</f>
        <v/>
      </c>
      <c r="K70" s="4" t="str">
        <f aca="false">IF(B70="","",IF(G70="","Пакет не выбран",IF(H70="","",IF(I70&gt;=H70,"Оплачено",IF(I70&gt;0,"Частично","Не оплачено")))))</f>
        <v/>
      </c>
      <c r="L70" s="4" t="str">
        <f aca="false">IF(B70="","",IF(K70="Оплачено","Да","Нет"))</f>
        <v/>
      </c>
      <c r="M70" s="5"/>
    </row>
    <row r="71" customFormat="false" ht="15" hidden="false" customHeight="false" outlineLevel="0" collapsed="false">
      <c r="A71" s="4" t="str">
        <f aca="false">IF(B71="","",ROW()-4)</f>
        <v/>
      </c>
      <c r="B71" s="5"/>
      <c r="C71" s="5"/>
      <c r="D71" s="5"/>
      <c r="E71" s="6"/>
      <c r="F71" s="7" t="str">
        <f aca="false">IF(E71="","",IFERROR(INDEX(Классы!$C$4:$C$33,MATCH(E71,Классы!$B$4:$B$33,0))&amp;"",""))</f>
        <v/>
      </c>
      <c r="G71" s="6"/>
      <c r="H71" s="8" t="str">
        <f aca="false">IF(OR(B71="",G71=""),"",IFERROR(IF(INDEX(Сводка!$C$7:$C$9,MATCH(G71,Сводка!$B$7:$B$9,0))="","",INDEX(Сводка!$C$7:$C$9,MATCH(G71,Сводка!$B$7:$B$9,0))),""))</f>
        <v/>
      </c>
      <c r="I71" s="9"/>
      <c r="J71" s="8" t="str">
        <f aca="false">IF(H71="","",H71-I71)</f>
        <v/>
      </c>
      <c r="K71" s="4" t="str">
        <f aca="false">IF(B71="","",IF(G71="","Пакет не выбран",IF(H71="","",IF(I71&gt;=H71,"Оплачено",IF(I71&gt;0,"Частично","Не оплачено")))))</f>
        <v/>
      </c>
      <c r="L71" s="4" t="str">
        <f aca="false">IF(B71="","",IF(K71="Оплачено","Да","Нет"))</f>
        <v/>
      </c>
      <c r="M71" s="5"/>
    </row>
    <row r="72" customFormat="false" ht="15" hidden="false" customHeight="false" outlineLevel="0" collapsed="false">
      <c r="A72" s="4" t="str">
        <f aca="false">IF(B72="","",ROW()-4)</f>
        <v/>
      </c>
      <c r="B72" s="5"/>
      <c r="C72" s="5"/>
      <c r="D72" s="5"/>
      <c r="E72" s="6"/>
      <c r="F72" s="7" t="str">
        <f aca="false">IF(E72="","",IFERROR(INDEX(Классы!$C$4:$C$33,MATCH(E72,Классы!$B$4:$B$33,0))&amp;"",""))</f>
        <v/>
      </c>
      <c r="G72" s="6"/>
      <c r="H72" s="8" t="str">
        <f aca="false">IF(OR(B72="",G72=""),"",IFERROR(IF(INDEX(Сводка!$C$7:$C$9,MATCH(G72,Сводка!$B$7:$B$9,0))="","",INDEX(Сводка!$C$7:$C$9,MATCH(G72,Сводка!$B$7:$B$9,0))),""))</f>
        <v/>
      </c>
      <c r="I72" s="9"/>
      <c r="J72" s="8" t="str">
        <f aca="false">IF(H72="","",H72-I72)</f>
        <v/>
      </c>
      <c r="K72" s="4" t="str">
        <f aca="false">IF(B72="","",IF(G72="","Пакет не выбран",IF(H72="","",IF(I72&gt;=H72,"Оплачено",IF(I72&gt;0,"Частично","Не оплачено")))))</f>
        <v/>
      </c>
      <c r="L72" s="4" t="str">
        <f aca="false">IF(B72="","",IF(K72="Оплачено","Да","Нет"))</f>
        <v/>
      </c>
      <c r="M72" s="5"/>
    </row>
    <row r="73" customFormat="false" ht="15" hidden="false" customHeight="false" outlineLevel="0" collapsed="false">
      <c r="A73" s="4" t="str">
        <f aca="false">IF(B73="","",ROW()-4)</f>
        <v/>
      </c>
      <c r="B73" s="5"/>
      <c r="C73" s="5"/>
      <c r="D73" s="5"/>
      <c r="E73" s="6"/>
      <c r="F73" s="7" t="str">
        <f aca="false">IF(E73="","",IFERROR(INDEX(Классы!$C$4:$C$33,MATCH(E73,Классы!$B$4:$B$33,0))&amp;"",""))</f>
        <v/>
      </c>
      <c r="G73" s="6"/>
      <c r="H73" s="8" t="str">
        <f aca="false">IF(OR(B73="",G73=""),"",IFERROR(IF(INDEX(Сводка!$C$7:$C$9,MATCH(G73,Сводка!$B$7:$B$9,0))="","",INDEX(Сводка!$C$7:$C$9,MATCH(G73,Сводка!$B$7:$B$9,0))),""))</f>
        <v/>
      </c>
      <c r="I73" s="9"/>
      <c r="J73" s="8" t="str">
        <f aca="false">IF(H73="","",H73-I73)</f>
        <v/>
      </c>
      <c r="K73" s="4" t="str">
        <f aca="false">IF(B73="","",IF(G73="","Пакет не выбран",IF(H73="","",IF(I73&gt;=H73,"Оплачено",IF(I73&gt;0,"Частично","Не оплачено")))))</f>
        <v/>
      </c>
      <c r="L73" s="4" t="str">
        <f aca="false">IF(B73="","",IF(K73="Оплачено","Да","Нет"))</f>
        <v/>
      </c>
      <c r="M73" s="5"/>
    </row>
    <row r="74" customFormat="false" ht="15" hidden="false" customHeight="false" outlineLevel="0" collapsed="false">
      <c r="A74" s="4" t="str">
        <f aca="false">IF(B74="","",ROW()-4)</f>
        <v/>
      </c>
      <c r="B74" s="5"/>
      <c r="C74" s="5"/>
      <c r="D74" s="5"/>
      <c r="E74" s="6"/>
      <c r="F74" s="7" t="str">
        <f aca="false">IF(E74="","",IFERROR(INDEX(Классы!$C$4:$C$33,MATCH(E74,Классы!$B$4:$B$33,0))&amp;"",""))</f>
        <v/>
      </c>
      <c r="G74" s="6"/>
      <c r="H74" s="8" t="str">
        <f aca="false">IF(OR(B74="",G74=""),"",IFERROR(IF(INDEX(Сводка!$C$7:$C$9,MATCH(G74,Сводка!$B$7:$B$9,0))="","",INDEX(Сводка!$C$7:$C$9,MATCH(G74,Сводка!$B$7:$B$9,0))),""))</f>
        <v/>
      </c>
      <c r="I74" s="9"/>
      <c r="J74" s="8" t="str">
        <f aca="false">IF(H74="","",H74-I74)</f>
        <v/>
      </c>
      <c r="K74" s="4" t="str">
        <f aca="false">IF(B74="","",IF(G74="","Пакет не выбран",IF(H74="","",IF(I74&gt;=H74,"Оплачено",IF(I74&gt;0,"Частично","Не оплачено")))))</f>
        <v/>
      </c>
      <c r="L74" s="4" t="str">
        <f aca="false">IF(B74="","",IF(K74="Оплачено","Да","Нет"))</f>
        <v/>
      </c>
      <c r="M74" s="5"/>
    </row>
    <row r="75" customFormat="false" ht="15" hidden="false" customHeight="false" outlineLevel="0" collapsed="false">
      <c r="A75" s="4" t="str">
        <f aca="false">IF(B75="","",ROW()-4)</f>
        <v/>
      </c>
      <c r="B75" s="5"/>
      <c r="C75" s="5"/>
      <c r="D75" s="5"/>
      <c r="E75" s="6"/>
      <c r="F75" s="7" t="str">
        <f aca="false">IF(E75="","",IFERROR(INDEX(Классы!$C$4:$C$33,MATCH(E75,Классы!$B$4:$B$33,0))&amp;"",""))</f>
        <v/>
      </c>
      <c r="G75" s="6"/>
      <c r="H75" s="8" t="str">
        <f aca="false">IF(OR(B75="",G75=""),"",IFERROR(IF(INDEX(Сводка!$C$7:$C$9,MATCH(G75,Сводка!$B$7:$B$9,0))="","",INDEX(Сводка!$C$7:$C$9,MATCH(G75,Сводка!$B$7:$B$9,0))),""))</f>
        <v/>
      </c>
      <c r="I75" s="9"/>
      <c r="J75" s="8" t="str">
        <f aca="false">IF(H75="","",H75-I75)</f>
        <v/>
      </c>
      <c r="K75" s="4" t="str">
        <f aca="false">IF(B75="","",IF(G75="","Пакет не выбран",IF(H75="","",IF(I75&gt;=H75,"Оплачено",IF(I75&gt;0,"Частично","Не оплачено")))))</f>
        <v/>
      </c>
      <c r="L75" s="4" t="str">
        <f aca="false">IF(B75="","",IF(K75="Оплачено","Да","Нет"))</f>
        <v/>
      </c>
      <c r="M75" s="5"/>
    </row>
    <row r="76" customFormat="false" ht="15" hidden="false" customHeight="false" outlineLevel="0" collapsed="false">
      <c r="A76" s="4" t="str">
        <f aca="false">IF(B76="","",ROW()-4)</f>
        <v/>
      </c>
      <c r="B76" s="5"/>
      <c r="C76" s="5"/>
      <c r="D76" s="5"/>
      <c r="E76" s="6"/>
      <c r="F76" s="7" t="str">
        <f aca="false">IF(E76="","",IFERROR(INDEX(Классы!$C$4:$C$33,MATCH(E76,Классы!$B$4:$B$33,0))&amp;"",""))</f>
        <v/>
      </c>
      <c r="G76" s="6"/>
      <c r="H76" s="8" t="str">
        <f aca="false">IF(OR(B76="",G76=""),"",IFERROR(IF(INDEX(Сводка!$C$7:$C$9,MATCH(G76,Сводка!$B$7:$B$9,0))="","",INDEX(Сводка!$C$7:$C$9,MATCH(G76,Сводка!$B$7:$B$9,0))),""))</f>
        <v/>
      </c>
      <c r="I76" s="9"/>
      <c r="J76" s="8" t="str">
        <f aca="false">IF(H76="","",H76-I76)</f>
        <v/>
      </c>
      <c r="K76" s="4" t="str">
        <f aca="false">IF(B76="","",IF(G76="","Пакет не выбран",IF(H76="","",IF(I76&gt;=H76,"Оплачено",IF(I76&gt;0,"Частично","Не оплачено")))))</f>
        <v/>
      </c>
      <c r="L76" s="4" t="str">
        <f aca="false">IF(B76="","",IF(K76="Оплачено","Да","Нет"))</f>
        <v/>
      </c>
      <c r="M76" s="5"/>
    </row>
    <row r="77" customFormat="false" ht="15" hidden="false" customHeight="false" outlineLevel="0" collapsed="false">
      <c r="A77" s="4" t="str">
        <f aca="false">IF(B77="","",ROW()-4)</f>
        <v/>
      </c>
      <c r="B77" s="5"/>
      <c r="C77" s="5"/>
      <c r="D77" s="5"/>
      <c r="E77" s="6"/>
      <c r="F77" s="7" t="str">
        <f aca="false">IF(E77="","",IFERROR(INDEX(Классы!$C$4:$C$33,MATCH(E77,Классы!$B$4:$B$33,0))&amp;"",""))</f>
        <v/>
      </c>
      <c r="G77" s="6"/>
      <c r="H77" s="8" t="str">
        <f aca="false">IF(OR(B77="",G77=""),"",IFERROR(IF(INDEX(Сводка!$C$7:$C$9,MATCH(G77,Сводка!$B$7:$B$9,0))="","",INDEX(Сводка!$C$7:$C$9,MATCH(G77,Сводка!$B$7:$B$9,0))),""))</f>
        <v/>
      </c>
      <c r="I77" s="9"/>
      <c r="J77" s="8" t="str">
        <f aca="false">IF(H77="","",H77-I77)</f>
        <v/>
      </c>
      <c r="K77" s="4" t="str">
        <f aca="false">IF(B77="","",IF(G77="","Пакет не выбран",IF(H77="","",IF(I77&gt;=H77,"Оплачено",IF(I77&gt;0,"Частично","Не оплачено")))))</f>
        <v/>
      </c>
      <c r="L77" s="4" t="str">
        <f aca="false">IF(B77="","",IF(K77="Оплачено","Да","Нет"))</f>
        <v/>
      </c>
      <c r="M77" s="5"/>
    </row>
    <row r="78" customFormat="false" ht="15" hidden="false" customHeight="false" outlineLevel="0" collapsed="false">
      <c r="A78" s="4" t="str">
        <f aca="false">IF(B78="","",ROW()-4)</f>
        <v/>
      </c>
      <c r="B78" s="5"/>
      <c r="C78" s="5"/>
      <c r="D78" s="5"/>
      <c r="E78" s="6"/>
      <c r="F78" s="7" t="str">
        <f aca="false">IF(E78="","",IFERROR(INDEX(Классы!$C$4:$C$33,MATCH(E78,Классы!$B$4:$B$33,0))&amp;"",""))</f>
        <v/>
      </c>
      <c r="G78" s="6"/>
      <c r="H78" s="8" t="str">
        <f aca="false">IF(OR(B78="",G78=""),"",IFERROR(IF(INDEX(Сводка!$C$7:$C$9,MATCH(G78,Сводка!$B$7:$B$9,0))="","",INDEX(Сводка!$C$7:$C$9,MATCH(G78,Сводка!$B$7:$B$9,0))),""))</f>
        <v/>
      </c>
      <c r="I78" s="9"/>
      <c r="J78" s="8" t="str">
        <f aca="false">IF(H78="","",H78-I78)</f>
        <v/>
      </c>
      <c r="K78" s="4" t="str">
        <f aca="false">IF(B78="","",IF(G78="","Пакет не выбран",IF(H78="","",IF(I78&gt;=H78,"Оплачено",IF(I78&gt;0,"Частично","Не оплачено")))))</f>
        <v/>
      </c>
      <c r="L78" s="4" t="str">
        <f aca="false">IF(B78="","",IF(K78="Оплачено","Да","Нет"))</f>
        <v/>
      </c>
      <c r="M78" s="5"/>
    </row>
    <row r="79" customFormat="false" ht="15" hidden="false" customHeight="false" outlineLevel="0" collapsed="false">
      <c r="A79" s="4" t="str">
        <f aca="false">IF(B79="","",ROW()-4)</f>
        <v/>
      </c>
      <c r="B79" s="5"/>
      <c r="C79" s="5"/>
      <c r="D79" s="5"/>
      <c r="E79" s="6"/>
      <c r="F79" s="7" t="str">
        <f aca="false">IF(E79="","",IFERROR(INDEX(Классы!$C$4:$C$33,MATCH(E79,Классы!$B$4:$B$33,0))&amp;"",""))</f>
        <v/>
      </c>
      <c r="G79" s="6"/>
      <c r="H79" s="8" t="str">
        <f aca="false">IF(OR(B79="",G79=""),"",IFERROR(IF(INDEX(Сводка!$C$7:$C$9,MATCH(G79,Сводка!$B$7:$B$9,0))="","",INDEX(Сводка!$C$7:$C$9,MATCH(G79,Сводка!$B$7:$B$9,0))),""))</f>
        <v/>
      </c>
      <c r="I79" s="9"/>
      <c r="J79" s="8" t="str">
        <f aca="false">IF(H79="","",H79-I79)</f>
        <v/>
      </c>
      <c r="K79" s="4" t="str">
        <f aca="false">IF(B79="","",IF(G79="","Пакет не выбран",IF(H79="","",IF(I79&gt;=H79,"Оплачено",IF(I79&gt;0,"Частично","Не оплачено")))))</f>
        <v/>
      </c>
      <c r="L79" s="4" t="str">
        <f aca="false">IF(B79="","",IF(K79="Оплачено","Да","Нет"))</f>
        <v/>
      </c>
      <c r="M79" s="5"/>
    </row>
    <row r="80" customFormat="false" ht="15" hidden="false" customHeight="false" outlineLevel="0" collapsed="false">
      <c r="A80" s="4" t="str">
        <f aca="false">IF(B80="","",ROW()-4)</f>
        <v/>
      </c>
      <c r="B80" s="5"/>
      <c r="C80" s="5"/>
      <c r="D80" s="5"/>
      <c r="E80" s="6"/>
      <c r="F80" s="7" t="str">
        <f aca="false">IF(E80="","",IFERROR(INDEX(Классы!$C$4:$C$33,MATCH(E80,Классы!$B$4:$B$33,0))&amp;"",""))</f>
        <v/>
      </c>
      <c r="G80" s="6"/>
      <c r="H80" s="8" t="str">
        <f aca="false">IF(OR(B80="",G80=""),"",IFERROR(IF(INDEX(Сводка!$C$7:$C$9,MATCH(G80,Сводка!$B$7:$B$9,0))="","",INDEX(Сводка!$C$7:$C$9,MATCH(G80,Сводка!$B$7:$B$9,0))),""))</f>
        <v/>
      </c>
      <c r="I80" s="9"/>
      <c r="J80" s="8" t="str">
        <f aca="false">IF(H80="","",H80-I80)</f>
        <v/>
      </c>
      <c r="K80" s="4" t="str">
        <f aca="false">IF(B80="","",IF(G80="","Пакет не выбран",IF(H80="","",IF(I80&gt;=H80,"Оплачено",IF(I80&gt;0,"Частично","Не оплачено")))))</f>
        <v/>
      </c>
      <c r="L80" s="4" t="str">
        <f aca="false">IF(B80="","",IF(K80="Оплачено","Да","Нет"))</f>
        <v/>
      </c>
      <c r="M80" s="5"/>
    </row>
    <row r="81" customFormat="false" ht="15" hidden="false" customHeight="false" outlineLevel="0" collapsed="false">
      <c r="A81" s="4" t="str">
        <f aca="false">IF(B81="","",ROW()-4)</f>
        <v/>
      </c>
      <c r="B81" s="5"/>
      <c r="C81" s="5"/>
      <c r="D81" s="5"/>
      <c r="E81" s="6"/>
      <c r="F81" s="7" t="str">
        <f aca="false">IF(E81="","",IFERROR(INDEX(Классы!$C$4:$C$33,MATCH(E81,Классы!$B$4:$B$33,0))&amp;"",""))</f>
        <v/>
      </c>
      <c r="G81" s="6"/>
      <c r="H81" s="8" t="str">
        <f aca="false">IF(OR(B81="",G81=""),"",IFERROR(IF(INDEX(Сводка!$C$7:$C$9,MATCH(G81,Сводка!$B$7:$B$9,0))="","",INDEX(Сводка!$C$7:$C$9,MATCH(G81,Сводка!$B$7:$B$9,0))),""))</f>
        <v/>
      </c>
      <c r="I81" s="9"/>
      <c r="J81" s="8" t="str">
        <f aca="false">IF(H81="","",H81-I81)</f>
        <v/>
      </c>
      <c r="K81" s="4" t="str">
        <f aca="false">IF(B81="","",IF(G81="","Пакет не выбран",IF(H81="","",IF(I81&gt;=H81,"Оплачено",IF(I81&gt;0,"Частично","Не оплачено")))))</f>
        <v/>
      </c>
      <c r="L81" s="4" t="str">
        <f aca="false">IF(B81="","",IF(K81="Оплачено","Да","Нет"))</f>
        <v/>
      </c>
      <c r="M81" s="5"/>
    </row>
    <row r="82" customFormat="false" ht="15" hidden="false" customHeight="false" outlineLevel="0" collapsed="false">
      <c r="A82" s="4" t="str">
        <f aca="false">IF(B82="","",ROW()-4)</f>
        <v/>
      </c>
      <c r="B82" s="5"/>
      <c r="C82" s="5"/>
      <c r="D82" s="5"/>
      <c r="E82" s="6"/>
      <c r="F82" s="7" t="str">
        <f aca="false">IF(E82="","",IFERROR(INDEX(Классы!$C$4:$C$33,MATCH(E82,Классы!$B$4:$B$33,0))&amp;"",""))</f>
        <v/>
      </c>
      <c r="G82" s="6"/>
      <c r="H82" s="8" t="str">
        <f aca="false">IF(OR(B82="",G82=""),"",IFERROR(IF(INDEX(Сводка!$C$7:$C$9,MATCH(G82,Сводка!$B$7:$B$9,0))="","",INDEX(Сводка!$C$7:$C$9,MATCH(G82,Сводка!$B$7:$B$9,0))),""))</f>
        <v/>
      </c>
      <c r="I82" s="9"/>
      <c r="J82" s="8" t="str">
        <f aca="false">IF(H82="","",H82-I82)</f>
        <v/>
      </c>
      <c r="K82" s="4" t="str">
        <f aca="false">IF(B82="","",IF(G82="","Пакет не выбран",IF(H82="","",IF(I82&gt;=H82,"Оплачено",IF(I82&gt;0,"Частично","Не оплачено")))))</f>
        <v/>
      </c>
      <c r="L82" s="4" t="str">
        <f aca="false">IF(B82="","",IF(K82="Оплачено","Да","Нет"))</f>
        <v/>
      </c>
      <c r="M82" s="5"/>
    </row>
    <row r="83" customFormat="false" ht="15" hidden="false" customHeight="false" outlineLevel="0" collapsed="false">
      <c r="A83" s="4" t="str">
        <f aca="false">IF(B83="","",ROW()-4)</f>
        <v/>
      </c>
      <c r="B83" s="5"/>
      <c r="C83" s="5"/>
      <c r="D83" s="5"/>
      <c r="E83" s="6"/>
      <c r="F83" s="7" t="str">
        <f aca="false">IF(E83="","",IFERROR(INDEX(Классы!$C$4:$C$33,MATCH(E83,Классы!$B$4:$B$33,0))&amp;"",""))</f>
        <v/>
      </c>
      <c r="G83" s="6"/>
      <c r="H83" s="8" t="str">
        <f aca="false">IF(OR(B83="",G83=""),"",IFERROR(IF(INDEX(Сводка!$C$7:$C$9,MATCH(G83,Сводка!$B$7:$B$9,0))="","",INDEX(Сводка!$C$7:$C$9,MATCH(G83,Сводка!$B$7:$B$9,0))),""))</f>
        <v/>
      </c>
      <c r="I83" s="9"/>
      <c r="J83" s="8" t="str">
        <f aca="false">IF(H83="","",H83-I83)</f>
        <v/>
      </c>
      <c r="K83" s="4" t="str">
        <f aca="false">IF(B83="","",IF(G83="","Пакет не выбран",IF(H83="","",IF(I83&gt;=H83,"Оплачено",IF(I83&gt;0,"Частично","Не оплачено")))))</f>
        <v/>
      </c>
      <c r="L83" s="4" t="str">
        <f aca="false">IF(B83="","",IF(K83="Оплачено","Да","Нет"))</f>
        <v/>
      </c>
      <c r="M83" s="5"/>
    </row>
    <row r="84" customFormat="false" ht="15" hidden="false" customHeight="false" outlineLevel="0" collapsed="false">
      <c r="A84" s="4" t="str">
        <f aca="false">IF(B84="","",ROW()-4)</f>
        <v/>
      </c>
      <c r="B84" s="5"/>
      <c r="C84" s="5"/>
      <c r="D84" s="5"/>
      <c r="E84" s="6"/>
      <c r="F84" s="7" t="str">
        <f aca="false">IF(E84="","",IFERROR(INDEX(Классы!$C$4:$C$33,MATCH(E84,Классы!$B$4:$B$33,0))&amp;"",""))</f>
        <v/>
      </c>
      <c r="G84" s="6"/>
      <c r="H84" s="8" t="str">
        <f aca="false">IF(OR(B84="",G84=""),"",IFERROR(IF(INDEX(Сводка!$C$7:$C$9,MATCH(G84,Сводка!$B$7:$B$9,0))="","",INDEX(Сводка!$C$7:$C$9,MATCH(G84,Сводка!$B$7:$B$9,0))),""))</f>
        <v/>
      </c>
      <c r="I84" s="9"/>
      <c r="J84" s="8" t="str">
        <f aca="false">IF(H84="","",H84-I84)</f>
        <v/>
      </c>
      <c r="K84" s="4" t="str">
        <f aca="false">IF(B84="","",IF(G84="","Пакет не выбран",IF(H84="","",IF(I84&gt;=H84,"Оплачено",IF(I84&gt;0,"Частично","Не оплачено")))))</f>
        <v/>
      </c>
      <c r="L84" s="4" t="str">
        <f aca="false">IF(B84="","",IF(K84="Оплачено","Да","Нет"))</f>
        <v/>
      </c>
      <c r="M84" s="5"/>
    </row>
    <row r="85" customFormat="false" ht="15" hidden="false" customHeight="false" outlineLevel="0" collapsed="false">
      <c r="A85" s="4" t="str">
        <f aca="false">IF(B85="","",ROW()-4)</f>
        <v/>
      </c>
      <c r="B85" s="5"/>
      <c r="C85" s="5"/>
      <c r="D85" s="5"/>
      <c r="E85" s="6"/>
      <c r="F85" s="7" t="str">
        <f aca="false">IF(E85="","",IFERROR(INDEX(Классы!$C$4:$C$33,MATCH(E85,Классы!$B$4:$B$33,0))&amp;"",""))</f>
        <v/>
      </c>
      <c r="G85" s="6"/>
      <c r="H85" s="8" t="str">
        <f aca="false">IF(OR(B85="",G85=""),"",IFERROR(IF(INDEX(Сводка!$C$7:$C$9,MATCH(G85,Сводка!$B$7:$B$9,0))="","",INDEX(Сводка!$C$7:$C$9,MATCH(G85,Сводка!$B$7:$B$9,0))),""))</f>
        <v/>
      </c>
      <c r="I85" s="9"/>
      <c r="J85" s="8" t="str">
        <f aca="false">IF(H85="","",H85-I85)</f>
        <v/>
      </c>
      <c r="K85" s="4" t="str">
        <f aca="false">IF(B85="","",IF(G85="","Пакет не выбран",IF(H85="","",IF(I85&gt;=H85,"Оплачено",IF(I85&gt;0,"Частично","Не оплачено")))))</f>
        <v/>
      </c>
      <c r="L85" s="4" t="str">
        <f aca="false">IF(B85="","",IF(K85="Оплачено","Да","Нет"))</f>
        <v/>
      </c>
      <c r="M85" s="5"/>
    </row>
    <row r="86" customFormat="false" ht="15" hidden="false" customHeight="false" outlineLevel="0" collapsed="false">
      <c r="A86" s="4" t="str">
        <f aca="false">IF(B86="","",ROW()-4)</f>
        <v/>
      </c>
      <c r="B86" s="5"/>
      <c r="C86" s="5"/>
      <c r="D86" s="5"/>
      <c r="E86" s="6"/>
      <c r="F86" s="7" t="str">
        <f aca="false">IF(E86="","",IFERROR(INDEX(Классы!$C$4:$C$33,MATCH(E86,Классы!$B$4:$B$33,0))&amp;"",""))</f>
        <v/>
      </c>
      <c r="G86" s="6"/>
      <c r="H86" s="8" t="str">
        <f aca="false">IF(OR(B86="",G86=""),"",IFERROR(IF(INDEX(Сводка!$C$7:$C$9,MATCH(G86,Сводка!$B$7:$B$9,0))="","",INDEX(Сводка!$C$7:$C$9,MATCH(G86,Сводка!$B$7:$B$9,0))),""))</f>
        <v/>
      </c>
      <c r="I86" s="9"/>
      <c r="J86" s="8" t="str">
        <f aca="false">IF(H86="","",H86-I86)</f>
        <v/>
      </c>
      <c r="K86" s="4" t="str">
        <f aca="false">IF(B86="","",IF(G86="","Пакет не выбран",IF(H86="","",IF(I86&gt;=H86,"Оплачено",IF(I86&gt;0,"Частично","Не оплачено")))))</f>
        <v/>
      </c>
      <c r="L86" s="4" t="str">
        <f aca="false">IF(B86="","",IF(K86="Оплачено","Да","Нет"))</f>
        <v/>
      </c>
      <c r="M86" s="5"/>
    </row>
    <row r="87" customFormat="false" ht="15" hidden="false" customHeight="false" outlineLevel="0" collapsed="false">
      <c r="A87" s="4" t="str">
        <f aca="false">IF(B87="","",ROW()-4)</f>
        <v/>
      </c>
      <c r="B87" s="5"/>
      <c r="C87" s="5"/>
      <c r="D87" s="5"/>
      <c r="E87" s="6"/>
      <c r="F87" s="7" t="str">
        <f aca="false">IF(E87="","",IFERROR(INDEX(Классы!$C$4:$C$33,MATCH(E87,Классы!$B$4:$B$33,0))&amp;"",""))</f>
        <v/>
      </c>
      <c r="G87" s="6"/>
      <c r="H87" s="8" t="str">
        <f aca="false">IF(OR(B87="",G87=""),"",IFERROR(IF(INDEX(Сводка!$C$7:$C$9,MATCH(G87,Сводка!$B$7:$B$9,0))="","",INDEX(Сводка!$C$7:$C$9,MATCH(G87,Сводка!$B$7:$B$9,0))),""))</f>
        <v/>
      </c>
      <c r="I87" s="9"/>
      <c r="J87" s="8" t="str">
        <f aca="false">IF(H87="","",H87-I87)</f>
        <v/>
      </c>
      <c r="K87" s="4" t="str">
        <f aca="false">IF(B87="","",IF(G87="","Пакет не выбран",IF(H87="","",IF(I87&gt;=H87,"Оплачено",IF(I87&gt;0,"Частично","Не оплачено")))))</f>
        <v/>
      </c>
      <c r="L87" s="4" t="str">
        <f aca="false">IF(B87="","",IF(K87="Оплачено","Да","Нет"))</f>
        <v/>
      </c>
      <c r="M87" s="5"/>
    </row>
    <row r="88" customFormat="false" ht="15" hidden="false" customHeight="false" outlineLevel="0" collapsed="false">
      <c r="A88" s="4" t="str">
        <f aca="false">IF(B88="","",ROW()-4)</f>
        <v/>
      </c>
      <c r="B88" s="5"/>
      <c r="C88" s="5"/>
      <c r="D88" s="5"/>
      <c r="E88" s="6"/>
      <c r="F88" s="7" t="str">
        <f aca="false">IF(E88="","",IFERROR(INDEX(Классы!$C$4:$C$33,MATCH(E88,Классы!$B$4:$B$33,0))&amp;"",""))</f>
        <v/>
      </c>
      <c r="G88" s="6"/>
      <c r="H88" s="8" t="str">
        <f aca="false">IF(OR(B88="",G88=""),"",IFERROR(IF(INDEX(Сводка!$C$7:$C$9,MATCH(G88,Сводка!$B$7:$B$9,0))="","",INDEX(Сводка!$C$7:$C$9,MATCH(G88,Сводка!$B$7:$B$9,0))),""))</f>
        <v/>
      </c>
      <c r="I88" s="9"/>
      <c r="J88" s="8" t="str">
        <f aca="false">IF(H88="","",H88-I88)</f>
        <v/>
      </c>
      <c r="K88" s="4" t="str">
        <f aca="false">IF(B88="","",IF(G88="","Пакет не выбран",IF(H88="","",IF(I88&gt;=H88,"Оплачено",IF(I88&gt;0,"Частично","Не оплачено")))))</f>
        <v/>
      </c>
      <c r="L88" s="4" t="str">
        <f aca="false">IF(B88="","",IF(K88="Оплачено","Да","Нет"))</f>
        <v/>
      </c>
      <c r="M88" s="5"/>
    </row>
    <row r="89" customFormat="false" ht="15" hidden="false" customHeight="false" outlineLevel="0" collapsed="false">
      <c r="A89" s="4" t="str">
        <f aca="false">IF(B89="","",ROW()-4)</f>
        <v/>
      </c>
      <c r="B89" s="5"/>
      <c r="C89" s="5"/>
      <c r="D89" s="5"/>
      <c r="E89" s="6"/>
      <c r="F89" s="7" t="str">
        <f aca="false">IF(E89="","",IFERROR(INDEX(Классы!$C$4:$C$33,MATCH(E89,Классы!$B$4:$B$33,0))&amp;"",""))</f>
        <v/>
      </c>
      <c r="G89" s="6"/>
      <c r="H89" s="8" t="str">
        <f aca="false">IF(OR(B89="",G89=""),"",IFERROR(IF(INDEX(Сводка!$C$7:$C$9,MATCH(G89,Сводка!$B$7:$B$9,0))="","",INDEX(Сводка!$C$7:$C$9,MATCH(G89,Сводка!$B$7:$B$9,0))),""))</f>
        <v/>
      </c>
      <c r="I89" s="9"/>
      <c r="J89" s="8" t="str">
        <f aca="false">IF(H89="","",H89-I89)</f>
        <v/>
      </c>
      <c r="K89" s="4" t="str">
        <f aca="false">IF(B89="","",IF(G89="","Пакет не выбран",IF(H89="","",IF(I89&gt;=H89,"Оплачено",IF(I89&gt;0,"Частично","Не оплачено")))))</f>
        <v/>
      </c>
      <c r="L89" s="4" t="str">
        <f aca="false">IF(B89="","",IF(K89="Оплачено","Да","Нет"))</f>
        <v/>
      </c>
      <c r="M89" s="5"/>
    </row>
    <row r="90" customFormat="false" ht="15" hidden="false" customHeight="false" outlineLevel="0" collapsed="false">
      <c r="A90" s="4" t="str">
        <f aca="false">IF(B90="","",ROW()-4)</f>
        <v/>
      </c>
      <c r="B90" s="5"/>
      <c r="C90" s="5"/>
      <c r="D90" s="5"/>
      <c r="E90" s="6"/>
      <c r="F90" s="7" t="str">
        <f aca="false">IF(E90="","",IFERROR(INDEX(Классы!$C$4:$C$33,MATCH(E90,Классы!$B$4:$B$33,0))&amp;"",""))</f>
        <v/>
      </c>
      <c r="G90" s="6"/>
      <c r="H90" s="8" t="str">
        <f aca="false">IF(OR(B90="",G90=""),"",IFERROR(IF(INDEX(Сводка!$C$7:$C$9,MATCH(G90,Сводка!$B$7:$B$9,0))="","",INDEX(Сводка!$C$7:$C$9,MATCH(G90,Сводка!$B$7:$B$9,0))),""))</f>
        <v/>
      </c>
      <c r="I90" s="9"/>
      <c r="J90" s="8" t="str">
        <f aca="false">IF(H90="","",H90-I90)</f>
        <v/>
      </c>
      <c r="K90" s="4" t="str">
        <f aca="false">IF(B90="","",IF(G90="","Пакет не выбран",IF(H90="","",IF(I90&gt;=H90,"Оплачено",IF(I90&gt;0,"Частично","Не оплачено")))))</f>
        <v/>
      </c>
      <c r="L90" s="4" t="str">
        <f aca="false">IF(B90="","",IF(K90="Оплачено","Да","Нет"))</f>
        <v/>
      </c>
      <c r="M90" s="5"/>
    </row>
    <row r="91" customFormat="false" ht="15" hidden="false" customHeight="false" outlineLevel="0" collapsed="false">
      <c r="A91" s="4" t="str">
        <f aca="false">IF(B91="","",ROW()-4)</f>
        <v/>
      </c>
      <c r="B91" s="5"/>
      <c r="C91" s="5"/>
      <c r="D91" s="5"/>
      <c r="E91" s="6"/>
      <c r="F91" s="7" t="str">
        <f aca="false">IF(E91="","",IFERROR(INDEX(Классы!$C$4:$C$33,MATCH(E91,Классы!$B$4:$B$33,0))&amp;"",""))</f>
        <v/>
      </c>
      <c r="G91" s="6"/>
      <c r="H91" s="8" t="str">
        <f aca="false">IF(OR(B91="",G91=""),"",IFERROR(IF(INDEX(Сводка!$C$7:$C$9,MATCH(G91,Сводка!$B$7:$B$9,0))="","",INDEX(Сводка!$C$7:$C$9,MATCH(G91,Сводка!$B$7:$B$9,0))),""))</f>
        <v/>
      </c>
      <c r="I91" s="9"/>
      <c r="J91" s="8" t="str">
        <f aca="false">IF(H91="","",H91-I91)</f>
        <v/>
      </c>
      <c r="K91" s="4" t="str">
        <f aca="false">IF(B91="","",IF(G91="","Пакет не выбран",IF(H91="","",IF(I91&gt;=H91,"Оплачено",IF(I91&gt;0,"Частично","Не оплачено")))))</f>
        <v/>
      </c>
      <c r="L91" s="4" t="str">
        <f aca="false">IF(B91="","",IF(K91="Оплачено","Да","Нет"))</f>
        <v/>
      </c>
      <c r="M91" s="5"/>
    </row>
    <row r="92" customFormat="false" ht="15" hidden="false" customHeight="false" outlineLevel="0" collapsed="false">
      <c r="A92" s="4" t="str">
        <f aca="false">IF(B92="","",ROW()-4)</f>
        <v/>
      </c>
      <c r="B92" s="5"/>
      <c r="C92" s="5"/>
      <c r="D92" s="5"/>
      <c r="E92" s="6"/>
      <c r="F92" s="7" t="str">
        <f aca="false">IF(E92="","",IFERROR(INDEX(Классы!$C$4:$C$33,MATCH(E92,Классы!$B$4:$B$33,0))&amp;"",""))</f>
        <v/>
      </c>
      <c r="G92" s="6"/>
      <c r="H92" s="8" t="str">
        <f aca="false">IF(OR(B92="",G92=""),"",IFERROR(IF(INDEX(Сводка!$C$7:$C$9,MATCH(G92,Сводка!$B$7:$B$9,0))="","",INDEX(Сводка!$C$7:$C$9,MATCH(G92,Сводка!$B$7:$B$9,0))),""))</f>
        <v/>
      </c>
      <c r="I92" s="9"/>
      <c r="J92" s="8" t="str">
        <f aca="false">IF(H92="","",H92-I92)</f>
        <v/>
      </c>
      <c r="K92" s="4" t="str">
        <f aca="false">IF(B92="","",IF(G92="","Пакет не выбран",IF(H92="","",IF(I92&gt;=H92,"Оплачено",IF(I92&gt;0,"Частично","Не оплачено")))))</f>
        <v/>
      </c>
      <c r="L92" s="4" t="str">
        <f aca="false">IF(B92="","",IF(K92="Оплачено","Да","Нет"))</f>
        <v/>
      </c>
      <c r="M92" s="5"/>
    </row>
    <row r="93" customFormat="false" ht="15" hidden="false" customHeight="false" outlineLevel="0" collapsed="false">
      <c r="A93" s="4" t="str">
        <f aca="false">IF(B93="","",ROW()-4)</f>
        <v/>
      </c>
      <c r="B93" s="5"/>
      <c r="C93" s="5"/>
      <c r="D93" s="5"/>
      <c r="E93" s="6"/>
      <c r="F93" s="7" t="str">
        <f aca="false">IF(E93="","",IFERROR(INDEX(Классы!$C$4:$C$33,MATCH(E93,Классы!$B$4:$B$33,0))&amp;"",""))</f>
        <v/>
      </c>
      <c r="G93" s="6"/>
      <c r="H93" s="8" t="str">
        <f aca="false">IF(OR(B93="",G93=""),"",IFERROR(IF(INDEX(Сводка!$C$7:$C$9,MATCH(G93,Сводка!$B$7:$B$9,0))="","",INDEX(Сводка!$C$7:$C$9,MATCH(G93,Сводка!$B$7:$B$9,0))),""))</f>
        <v/>
      </c>
      <c r="I93" s="9"/>
      <c r="J93" s="8" t="str">
        <f aca="false">IF(H93="","",H93-I93)</f>
        <v/>
      </c>
      <c r="K93" s="4" t="str">
        <f aca="false">IF(B93="","",IF(G93="","Пакет не выбран",IF(H93="","",IF(I93&gt;=H93,"Оплачено",IF(I93&gt;0,"Частично","Не оплачено")))))</f>
        <v/>
      </c>
      <c r="L93" s="4" t="str">
        <f aca="false">IF(B93="","",IF(K93="Оплачено","Да","Нет"))</f>
        <v/>
      </c>
      <c r="M93" s="5"/>
    </row>
    <row r="94" customFormat="false" ht="15" hidden="false" customHeight="false" outlineLevel="0" collapsed="false">
      <c r="A94" s="4" t="str">
        <f aca="false">IF(B94="","",ROW()-4)</f>
        <v/>
      </c>
      <c r="B94" s="5"/>
      <c r="C94" s="5"/>
      <c r="D94" s="5"/>
      <c r="E94" s="6"/>
      <c r="F94" s="7" t="str">
        <f aca="false">IF(E94="","",IFERROR(INDEX(Классы!$C$4:$C$33,MATCH(E94,Классы!$B$4:$B$33,0))&amp;"",""))</f>
        <v/>
      </c>
      <c r="G94" s="6"/>
      <c r="H94" s="8" t="str">
        <f aca="false">IF(OR(B94="",G94=""),"",IFERROR(IF(INDEX(Сводка!$C$7:$C$9,MATCH(G94,Сводка!$B$7:$B$9,0))="","",INDEX(Сводка!$C$7:$C$9,MATCH(G94,Сводка!$B$7:$B$9,0))),""))</f>
        <v/>
      </c>
      <c r="I94" s="9"/>
      <c r="J94" s="8" t="str">
        <f aca="false">IF(H94="","",H94-I94)</f>
        <v/>
      </c>
      <c r="K94" s="4" t="str">
        <f aca="false">IF(B94="","",IF(G94="","Пакет не выбран",IF(H94="","",IF(I94&gt;=H94,"Оплачено",IF(I94&gt;0,"Частично","Не оплачено")))))</f>
        <v/>
      </c>
      <c r="L94" s="4" t="str">
        <f aca="false">IF(B94="","",IF(K94="Оплачено","Да","Нет"))</f>
        <v/>
      </c>
      <c r="M94" s="5"/>
    </row>
    <row r="95" customFormat="false" ht="15" hidden="false" customHeight="false" outlineLevel="0" collapsed="false">
      <c r="A95" s="4" t="str">
        <f aca="false">IF(B95="","",ROW()-4)</f>
        <v/>
      </c>
      <c r="B95" s="5"/>
      <c r="C95" s="5"/>
      <c r="D95" s="5"/>
      <c r="E95" s="6"/>
      <c r="F95" s="7" t="str">
        <f aca="false">IF(E95="","",IFERROR(INDEX(Классы!$C$4:$C$33,MATCH(E95,Классы!$B$4:$B$33,0))&amp;"",""))</f>
        <v/>
      </c>
      <c r="G95" s="6"/>
      <c r="H95" s="8" t="str">
        <f aca="false">IF(OR(B95="",G95=""),"",IFERROR(IF(INDEX(Сводка!$C$7:$C$9,MATCH(G95,Сводка!$B$7:$B$9,0))="","",INDEX(Сводка!$C$7:$C$9,MATCH(G95,Сводка!$B$7:$B$9,0))),""))</f>
        <v/>
      </c>
      <c r="I95" s="9"/>
      <c r="J95" s="8" t="str">
        <f aca="false">IF(H95="","",H95-I95)</f>
        <v/>
      </c>
      <c r="K95" s="4" t="str">
        <f aca="false">IF(B95="","",IF(G95="","Пакет не выбран",IF(H95="","",IF(I95&gt;=H95,"Оплачено",IF(I95&gt;0,"Частично","Не оплачено")))))</f>
        <v/>
      </c>
      <c r="L95" s="4" t="str">
        <f aca="false">IF(B95="","",IF(K95="Оплачено","Да","Нет"))</f>
        <v/>
      </c>
      <c r="M95" s="5"/>
    </row>
    <row r="96" customFormat="false" ht="15" hidden="false" customHeight="false" outlineLevel="0" collapsed="false">
      <c r="A96" s="4" t="str">
        <f aca="false">IF(B96="","",ROW()-4)</f>
        <v/>
      </c>
      <c r="B96" s="5"/>
      <c r="C96" s="5"/>
      <c r="D96" s="5"/>
      <c r="E96" s="6"/>
      <c r="F96" s="7" t="str">
        <f aca="false">IF(E96="","",IFERROR(INDEX(Классы!$C$4:$C$33,MATCH(E96,Классы!$B$4:$B$33,0))&amp;"",""))</f>
        <v/>
      </c>
      <c r="G96" s="6"/>
      <c r="H96" s="8" t="str">
        <f aca="false">IF(OR(B96="",G96=""),"",IFERROR(IF(INDEX(Сводка!$C$7:$C$9,MATCH(G96,Сводка!$B$7:$B$9,0))="","",INDEX(Сводка!$C$7:$C$9,MATCH(G96,Сводка!$B$7:$B$9,0))),""))</f>
        <v/>
      </c>
      <c r="I96" s="9"/>
      <c r="J96" s="8" t="str">
        <f aca="false">IF(H96="","",H96-I96)</f>
        <v/>
      </c>
      <c r="K96" s="4" t="str">
        <f aca="false">IF(B96="","",IF(G96="","Пакет не выбран",IF(H96="","",IF(I96&gt;=H96,"Оплачено",IF(I96&gt;0,"Частично","Не оплачено")))))</f>
        <v/>
      </c>
      <c r="L96" s="4" t="str">
        <f aca="false">IF(B96="","",IF(K96="Оплачено","Да","Нет"))</f>
        <v/>
      </c>
      <c r="M96" s="5"/>
    </row>
    <row r="97" customFormat="false" ht="15" hidden="false" customHeight="false" outlineLevel="0" collapsed="false">
      <c r="A97" s="4" t="str">
        <f aca="false">IF(B97="","",ROW()-4)</f>
        <v/>
      </c>
      <c r="B97" s="5"/>
      <c r="C97" s="5"/>
      <c r="D97" s="5"/>
      <c r="E97" s="6"/>
      <c r="F97" s="7" t="str">
        <f aca="false">IF(E97="","",IFERROR(INDEX(Классы!$C$4:$C$33,MATCH(E97,Классы!$B$4:$B$33,0))&amp;"",""))</f>
        <v/>
      </c>
      <c r="G97" s="6"/>
      <c r="H97" s="8" t="str">
        <f aca="false">IF(OR(B97="",G97=""),"",IFERROR(IF(INDEX(Сводка!$C$7:$C$9,MATCH(G97,Сводка!$B$7:$B$9,0))="","",INDEX(Сводка!$C$7:$C$9,MATCH(G97,Сводка!$B$7:$B$9,0))),""))</f>
        <v/>
      </c>
      <c r="I97" s="9"/>
      <c r="J97" s="8" t="str">
        <f aca="false">IF(H97="","",H97-I97)</f>
        <v/>
      </c>
      <c r="K97" s="4" t="str">
        <f aca="false">IF(B97="","",IF(G97="","Пакет не выбран",IF(H97="","",IF(I97&gt;=H97,"Оплачено",IF(I97&gt;0,"Частично","Не оплачено")))))</f>
        <v/>
      </c>
      <c r="L97" s="4" t="str">
        <f aca="false">IF(B97="","",IF(K97="Оплачено","Да","Нет"))</f>
        <v/>
      </c>
      <c r="M97" s="5"/>
    </row>
    <row r="98" customFormat="false" ht="15" hidden="false" customHeight="false" outlineLevel="0" collapsed="false">
      <c r="A98" s="4" t="str">
        <f aca="false">IF(B98="","",ROW()-4)</f>
        <v/>
      </c>
      <c r="B98" s="5"/>
      <c r="C98" s="5"/>
      <c r="D98" s="5"/>
      <c r="E98" s="6"/>
      <c r="F98" s="7" t="str">
        <f aca="false">IF(E98="","",IFERROR(INDEX(Классы!$C$4:$C$33,MATCH(E98,Классы!$B$4:$B$33,0))&amp;"",""))</f>
        <v/>
      </c>
      <c r="G98" s="6"/>
      <c r="H98" s="8" t="str">
        <f aca="false">IF(OR(B98="",G98=""),"",IFERROR(IF(INDEX(Сводка!$C$7:$C$9,MATCH(G98,Сводка!$B$7:$B$9,0))="","",INDEX(Сводка!$C$7:$C$9,MATCH(G98,Сводка!$B$7:$B$9,0))),""))</f>
        <v/>
      </c>
      <c r="I98" s="9"/>
      <c r="J98" s="8" t="str">
        <f aca="false">IF(H98="","",H98-I98)</f>
        <v/>
      </c>
      <c r="K98" s="4" t="str">
        <f aca="false">IF(B98="","",IF(G98="","Пакет не выбран",IF(H98="","",IF(I98&gt;=H98,"Оплачено",IF(I98&gt;0,"Частично","Не оплачено")))))</f>
        <v/>
      </c>
      <c r="L98" s="4" t="str">
        <f aca="false">IF(B98="","",IF(K98="Оплачено","Да","Нет"))</f>
        <v/>
      </c>
      <c r="M98" s="5"/>
    </row>
    <row r="99" customFormat="false" ht="15" hidden="false" customHeight="false" outlineLevel="0" collapsed="false">
      <c r="A99" s="4" t="str">
        <f aca="false">IF(B99="","",ROW()-4)</f>
        <v/>
      </c>
      <c r="B99" s="5"/>
      <c r="C99" s="5"/>
      <c r="D99" s="5"/>
      <c r="E99" s="6"/>
      <c r="F99" s="7" t="str">
        <f aca="false">IF(E99="","",IFERROR(INDEX(Классы!$C$4:$C$33,MATCH(E99,Классы!$B$4:$B$33,0))&amp;"",""))</f>
        <v/>
      </c>
      <c r="G99" s="6"/>
      <c r="H99" s="8" t="str">
        <f aca="false">IF(OR(B99="",G99=""),"",IFERROR(IF(INDEX(Сводка!$C$7:$C$9,MATCH(G99,Сводка!$B$7:$B$9,0))="","",INDEX(Сводка!$C$7:$C$9,MATCH(G99,Сводка!$B$7:$B$9,0))),""))</f>
        <v/>
      </c>
      <c r="I99" s="9"/>
      <c r="J99" s="8" t="str">
        <f aca="false">IF(H99="","",H99-I99)</f>
        <v/>
      </c>
      <c r="K99" s="4" t="str">
        <f aca="false">IF(B99="","",IF(G99="","Пакет не выбран",IF(H99="","",IF(I99&gt;=H99,"Оплачено",IF(I99&gt;0,"Частично","Не оплачено")))))</f>
        <v/>
      </c>
      <c r="L99" s="4" t="str">
        <f aca="false">IF(B99="","",IF(K99="Оплачено","Да","Нет"))</f>
        <v/>
      </c>
      <c r="M99" s="5"/>
    </row>
    <row r="100" customFormat="false" ht="15" hidden="false" customHeight="false" outlineLevel="0" collapsed="false">
      <c r="A100" s="4" t="str">
        <f aca="false">IF(B100="","",ROW()-4)</f>
        <v/>
      </c>
      <c r="B100" s="5"/>
      <c r="C100" s="5"/>
      <c r="D100" s="5"/>
      <c r="E100" s="6"/>
      <c r="F100" s="7" t="str">
        <f aca="false">IF(E100="","",IFERROR(INDEX(Классы!$C$4:$C$33,MATCH(E100,Классы!$B$4:$B$33,0))&amp;"",""))</f>
        <v/>
      </c>
      <c r="G100" s="6"/>
      <c r="H100" s="8" t="str">
        <f aca="false">IF(OR(B100="",G100=""),"",IFERROR(IF(INDEX(Сводка!$C$7:$C$9,MATCH(G100,Сводка!$B$7:$B$9,0))="","",INDEX(Сводка!$C$7:$C$9,MATCH(G100,Сводка!$B$7:$B$9,0))),""))</f>
        <v/>
      </c>
      <c r="I100" s="9"/>
      <c r="J100" s="8" t="str">
        <f aca="false">IF(H100="","",H100-I100)</f>
        <v/>
      </c>
      <c r="K100" s="4" t="str">
        <f aca="false">IF(B100="","",IF(G100="","Пакет не выбран",IF(H100="","",IF(I100&gt;=H100,"Оплачено",IF(I100&gt;0,"Частично","Не оплачено")))))</f>
        <v/>
      </c>
      <c r="L100" s="4" t="str">
        <f aca="false">IF(B100="","",IF(K100="Оплачено","Да","Нет"))</f>
        <v/>
      </c>
      <c r="M100" s="5"/>
    </row>
    <row r="101" customFormat="false" ht="15" hidden="false" customHeight="false" outlineLevel="0" collapsed="false">
      <c r="A101" s="4" t="str">
        <f aca="false">IF(B101="","",ROW()-4)</f>
        <v/>
      </c>
      <c r="B101" s="5"/>
      <c r="C101" s="5"/>
      <c r="D101" s="5"/>
      <c r="E101" s="6"/>
      <c r="F101" s="7" t="str">
        <f aca="false">IF(E101="","",IFERROR(INDEX(Классы!$C$4:$C$33,MATCH(E101,Классы!$B$4:$B$33,0))&amp;"",""))</f>
        <v/>
      </c>
      <c r="G101" s="6"/>
      <c r="H101" s="8" t="str">
        <f aca="false">IF(OR(B101="",G101=""),"",IFERROR(IF(INDEX(Сводка!$C$7:$C$9,MATCH(G101,Сводка!$B$7:$B$9,0))="","",INDEX(Сводка!$C$7:$C$9,MATCH(G101,Сводка!$B$7:$B$9,0))),""))</f>
        <v/>
      </c>
      <c r="I101" s="9"/>
      <c r="J101" s="8" t="str">
        <f aca="false">IF(H101="","",H101-I101)</f>
        <v/>
      </c>
      <c r="K101" s="4" t="str">
        <f aca="false">IF(B101="","",IF(G101="","Пакет не выбран",IF(H101="","",IF(I101&gt;=H101,"Оплачено",IF(I101&gt;0,"Частично","Не оплачено")))))</f>
        <v/>
      </c>
      <c r="L101" s="4" t="str">
        <f aca="false">IF(B101="","",IF(K101="Оплачено","Да","Нет"))</f>
        <v/>
      </c>
      <c r="M101" s="5"/>
    </row>
    <row r="102" customFormat="false" ht="15" hidden="false" customHeight="false" outlineLevel="0" collapsed="false">
      <c r="A102" s="4" t="str">
        <f aca="false">IF(B102="","",ROW()-4)</f>
        <v/>
      </c>
      <c r="B102" s="5"/>
      <c r="C102" s="5"/>
      <c r="D102" s="5"/>
      <c r="E102" s="6"/>
      <c r="F102" s="7" t="str">
        <f aca="false">IF(E102="","",IFERROR(INDEX(Классы!$C$4:$C$33,MATCH(E102,Классы!$B$4:$B$33,0))&amp;"",""))</f>
        <v/>
      </c>
      <c r="G102" s="6"/>
      <c r="H102" s="8" t="str">
        <f aca="false">IF(OR(B102="",G102=""),"",IFERROR(IF(INDEX(Сводка!$C$7:$C$9,MATCH(G102,Сводка!$B$7:$B$9,0))="","",INDEX(Сводка!$C$7:$C$9,MATCH(G102,Сводка!$B$7:$B$9,0))),""))</f>
        <v/>
      </c>
      <c r="I102" s="9"/>
      <c r="J102" s="8" t="str">
        <f aca="false">IF(H102="","",H102-I102)</f>
        <v/>
      </c>
      <c r="K102" s="4" t="str">
        <f aca="false">IF(B102="","",IF(G102="","Пакет не выбран",IF(H102="","",IF(I102&gt;=H102,"Оплачено",IF(I102&gt;0,"Частично","Не оплачено")))))</f>
        <v/>
      </c>
      <c r="L102" s="4" t="str">
        <f aca="false">IF(B102="","",IF(K102="Оплачено","Да","Нет"))</f>
        <v/>
      </c>
      <c r="M102" s="5"/>
    </row>
    <row r="103" customFormat="false" ht="15" hidden="false" customHeight="false" outlineLevel="0" collapsed="false">
      <c r="A103" s="4" t="str">
        <f aca="false">IF(B103="","",ROW()-4)</f>
        <v/>
      </c>
      <c r="B103" s="5"/>
      <c r="C103" s="5"/>
      <c r="D103" s="5"/>
      <c r="E103" s="6"/>
      <c r="F103" s="7" t="str">
        <f aca="false">IF(E103="","",IFERROR(INDEX(Классы!$C$4:$C$33,MATCH(E103,Классы!$B$4:$B$33,0))&amp;"",""))</f>
        <v/>
      </c>
      <c r="G103" s="6"/>
      <c r="H103" s="8" t="str">
        <f aca="false">IF(OR(B103="",G103=""),"",IFERROR(IF(INDEX(Сводка!$C$7:$C$9,MATCH(G103,Сводка!$B$7:$B$9,0))="","",INDEX(Сводка!$C$7:$C$9,MATCH(G103,Сводка!$B$7:$B$9,0))),""))</f>
        <v/>
      </c>
      <c r="I103" s="9"/>
      <c r="J103" s="8" t="str">
        <f aca="false">IF(H103="","",H103-I103)</f>
        <v/>
      </c>
      <c r="K103" s="4" t="str">
        <f aca="false">IF(B103="","",IF(G103="","Пакет не выбран",IF(H103="","",IF(I103&gt;=H103,"Оплачено",IF(I103&gt;0,"Частично","Не оплачено")))))</f>
        <v/>
      </c>
      <c r="L103" s="4" t="str">
        <f aca="false">IF(B103="","",IF(K103="Оплачено","Да","Нет"))</f>
        <v/>
      </c>
      <c r="M103" s="5"/>
    </row>
    <row r="104" customFormat="false" ht="15" hidden="false" customHeight="false" outlineLevel="0" collapsed="false">
      <c r="A104" s="4" t="str">
        <f aca="false">IF(B104="","",ROW()-4)</f>
        <v/>
      </c>
      <c r="B104" s="5"/>
      <c r="C104" s="5"/>
      <c r="D104" s="5"/>
      <c r="E104" s="6"/>
      <c r="F104" s="7" t="str">
        <f aca="false">IF(E104="","",IFERROR(INDEX(Классы!$C$4:$C$33,MATCH(E104,Классы!$B$4:$B$33,0))&amp;"",""))</f>
        <v/>
      </c>
      <c r="G104" s="6"/>
      <c r="H104" s="8" t="str">
        <f aca="false">IF(OR(B104="",G104=""),"",IFERROR(IF(INDEX(Сводка!$C$7:$C$9,MATCH(G104,Сводка!$B$7:$B$9,0))="","",INDEX(Сводка!$C$7:$C$9,MATCH(G104,Сводка!$B$7:$B$9,0))),""))</f>
        <v/>
      </c>
      <c r="I104" s="9"/>
      <c r="J104" s="8" t="str">
        <f aca="false">IF(H104="","",H104-I104)</f>
        <v/>
      </c>
      <c r="K104" s="4" t="str">
        <f aca="false">IF(B104="","",IF(G104="","Пакет не выбран",IF(H104="","",IF(I104&gt;=H104,"Оплачено",IF(I104&gt;0,"Частично","Не оплачено")))))</f>
        <v/>
      </c>
      <c r="L104" s="4" t="str">
        <f aca="false">IF(B104="","",IF(K104="Оплачено","Да","Нет"))</f>
        <v/>
      </c>
      <c r="M104" s="5"/>
    </row>
  </sheetData>
  <autoFilter ref="A4:M104"/>
  <conditionalFormatting sqref="L5:L104">
    <cfRule type="cellIs" priority="2" operator="equal" aboveAverage="0" equalAverage="0" bottom="0" percent="0" rank="0" text="" dxfId="5">
      <formula>"Да"</formula>
    </cfRule>
    <cfRule type="cellIs" priority="3" operator="equal" aboveAverage="0" equalAverage="0" bottom="0" percent="0" rank="0" text="" dxfId="6">
      <formula>"Нет"</formula>
    </cfRule>
  </conditionalFormatting>
  <conditionalFormatting sqref="K5:K104">
    <cfRule type="cellIs" priority="4" operator="equal" aboveAverage="0" equalAverage="0" bottom="0" percent="0" rank="0" text="" dxfId="7">
      <formula>"Оплачено"</formula>
    </cfRule>
    <cfRule type="cellIs" priority="5" operator="equal" aboveAverage="0" equalAverage="0" bottom="0" percent="0" rank="0" text="" dxfId="8">
      <formula>"Частично"</formula>
    </cfRule>
    <cfRule type="cellIs" priority="6" operator="equal" aboveAverage="0" equalAverage="0" bottom="0" percent="0" rank="0" text="" dxfId="9">
      <formula>"Не оплачено"</formula>
    </cfRule>
    <cfRule type="cellIs" priority="7" operator="equal" aboveAverage="0" equalAverage="0" bottom="0" percent="0" rank="0" text="" dxfId="10">
      <formula>"Пакет не выбран"</formula>
    </cfRule>
  </conditionalFormatting>
  <dataValidations count="2">
    <dataValidation allowBlank="true" error="Выберите пакет из списка. Названия пакетов задаются на листе «Сводка»." errorStyle="stop" errorTitle="Пакет" operator="between" showDropDown="false" showErrorMessage="true" showInputMessage="false" sqref="G5:G104" type="list">
      <formula1>Сводка!$B$7:$B$9</formula1>
      <formula2>0</formula2>
    </dataValidation>
    <dataValidation allowBlank="true" errorStyle="stop" operator="greaterThanOrEqual" showDropDown="false" showErrorMessage="false" showInputMessage="false" sqref="I5:I1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13"/>
  </cols>
  <sheetData>
    <row r="1" customFormat="false" ht="17.35" hidden="false" customHeight="false" outlineLevel="0" collapsed="false">
      <c r="B1" s="1" t="s">
        <v>15</v>
      </c>
    </row>
    <row r="2" customFormat="false" ht="15" hidden="false" customHeight="false" outlineLevel="0" collapsed="false">
      <c r="B2" s="2" t="s">
        <v>16</v>
      </c>
    </row>
    <row r="3" customFormat="false" ht="30" hidden="false" customHeight="true" outlineLevel="0" collapsed="false">
      <c r="B3" s="3" t="s">
        <v>6</v>
      </c>
      <c r="C3" s="3" t="s">
        <v>7</v>
      </c>
      <c r="D3" s="3" t="s">
        <v>17</v>
      </c>
      <c r="E3" s="3" t="s">
        <v>18</v>
      </c>
    </row>
    <row r="4" customFormat="false" ht="15" hidden="false" customHeight="false" outlineLevel="0" collapsed="false">
      <c r="B4" s="6"/>
      <c r="C4" s="5"/>
      <c r="D4" s="4" t="str">
        <f aca="false">IF(B4="","",COUNTIF(Ученики!$E$5:$E$104,B4))</f>
        <v/>
      </c>
      <c r="E4" s="4" t="str">
        <f aca="false">IF(B4="","",COUNTIFS(Ученики!$E$5:$E$104,B4,Ученики!$L$5:$L$104,"Да"))</f>
        <v/>
      </c>
    </row>
    <row r="5" customFormat="false" ht="15" hidden="false" customHeight="false" outlineLevel="0" collapsed="false">
      <c r="B5" s="6"/>
      <c r="C5" s="5"/>
      <c r="D5" s="4" t="str">
        <f aca="false">IF(B5="","",COUNTIF(Ученики!$E$5:$E$104,B5))</f>
        <v/>
      </c>
      <c r="E5" s="4" t="str">
        <f aca="false">IF(B5="","",COUNTIFS(Ученики!$E$5:$E$104,B5,Ученики!$L$5:$L$104,"Да"))</f>
        <v/>
      </c>
    </row>
    <row r="6" customFormat="false" ht="15" hidden="false" customHeight="false" outlineLevel="0" collapsed="false">
      <c r="B6" s="6"/>
      <c r="C6" s="5"/>
      <c r="D6" s="4" t="str">
        <f aca="false">IF(B6="","",COUNTIF(Ученики!$E$5:$E$104,B6))</f>
        <v/>
      </c>
      <c r="E6" s="4" t="str">
        <f aca="false">IF(B6="","",COUNTIFS(Ученики!$E$5:$E$104,B6,Ученики!$L$5:$L$104,"Да"))</f>
        <v/>
      </c>
    </row>
    <row r="7" customFormat="false" ht="15" hidden="false" customHeight="false" outlineLevel="0" collapsed="false">
      <c r="B7" s="6"/>
      <c r="C7" s="5"/>
      <c r="D7" s="4" t="str">
        <f aca="false">IF(B7="","",COUNTIF(Ученики!$E$5:$E$104,B7))</f>
        <v/>
      </c>
      <c r="E7" s="4" t="str">
        <f aca="false">IF(B7="","",COUNTIFS(Ученики!$E$5:$E$104,B7,Ученики!$L$5:$L$104,"Да"))</f>
        <v/>
      </c>
    </row>
    <row r="8" customFormat="false" ht="15" hidden="false" customHeight="false" outlineLevel="0" collapsed="false">
      <c r="B8" s="6"/>
      <c r="C8" s="5"/>
      <c r="D8" s="4" t="str">
        <f aca="false">IF(B8="","",COUNTIF(Ученики!$E$5:$E$104,B8))</f>
        <v/>
      </c>
      <c r="E8" s="4" t="str">
        <f aca="false">IF(B8="","",COUNTIFS(Ученики!$E$5:$E$104,B8,Ученики!$L$5:$L$104,"Да"))</f>
        <v/>
      </c>
    </row>
    <row r="9" customFormat="false" ht="15" hidden="false" customHeight="false" outlineLevel="0" collapsed="false">
      <c r="B9" s="6"/>
      <c r="C9" s="5"/>
      <c r="D9" s="4" t="str">
        <f aca="false">IF(B9="","",COUNTIF(Ученики!$E$5:$E$104,B9))</f>
        <v/>
      </c>
      <c r="E9" s="4" t="str">
        <f aca="false">IF(B9="","",COUNTIFS(Ученики!$E$5:$E$104,B9,Ученики!$L$5:$L$104,"Да"))</f>
        <v/>
      </c>
    </row>
    <row r="10" customFormat="false" ht="15" hidden="false" customHeight="false" outlineLevel="0" collapsed="false">
      <c r="B10" s="6"/>
      <c r="C10" s="5"/>
      <c r="D10" s="4" t="str">
        <f aca="false">IF(B10="","",COUNTIF(Ученики!$E$5:$E$104,B10))</f>
        <v/>
      </c>
      <c r="E10" s="4" t="str">
        <f aca="false">IF(B10="","",COUNTIFS(Ученики!$E$5:$E$104,B10,Ученики!$L$5:$L$104,"Да"))</f>
        <v/>
      </c>
    </row>
    <row r="11" customFormat="false" ht="15" hidden="false" customHeight="false" outlineLevel="0" collapsed="false">
      <c r="B11" s="6"/>
      <c r="C11" s="5"/>
      <c r="D11" s="4" t="str">
        <f aca="false">IF(B11="","",COUNTIF(Ученики!$E$5:$E$104,B11))</f>
        <v/>
      </c>
      <c r="E11" s="4" t="str">
        <f aca="false">IF(B11="","",COUNTIFS(Ученики!$E$5:$E$104,B11,Ученики!$L$5:$L$104,"Да"))</f>
        <v/>
      </c>
    </row>
    <row r="12" customFormat="false" ht="15" hidden="false" customHeight="false" outlineLevel="0" collapsed="false">
      <c r="B12" s="6"/>
      <c r="C12" s="5"/>
      <c r="D12" s="4" t="str">
        <f aca="false">IF(B12="","",COUNTIF(Ученики!$E$5:$E$104,B12))</f>
        <v/>
      </c>
      <c r="E12" s="4" t="str">
        <f aca="false">IF(B12="","",COUNTIFS(Ученики!$E$5:$E$104,B12,Ученики!$L$5:$L$104,"Да"))</f>
        <v/>
      </c>
    </row>
    <row r="13" customFormat="false" ht="15" hidden="false" customHeight="false" outlineLevel="0" collapsed="false">
      <c r="B13" s="6"/>
      <c r="C13" s="5"/>
      <c r="D13" s="4" t="str">
        <f aca="false">IF(B13="","",COUNTIF(Ученики!$E$5:$E$104,B13))</f>
        <v/>
      </c>
      <c r="E13" s="4" t="str">
        <f aca="false">IF(B13="","",COUNTIFS(Ученики!$E$5:$E$104,B13,Ученики!$L$5:$L$104,"Да"))</f>
        <v/>
      </c>
    </row>
    <row r="14" customFormat="false" ht="15" hidden="false" customHeight="false" outlineLevel="0" collapsed="false">
      <c r="B14" s="6"/>
      <c r="C14" s="5"/>
      <c r="D14" s="4" t="str">
        <f aca="false">IF(B14="","",COUNTIF(Ученики!$E$5:$E$104,B14))</f>
        <v/>
      </c>
      <c r="E14" s="4" t="str">
        <f aca="false">IF(B14="","",COUNTIFS(Ученики!$E$5:$E$104,B14,Ученики!$L$5:$L$104,"Да"))</f>
        <v/>
      </c>
    </row>
    <row r="15" customFormat="false" ht="15" hidden="false" customHeight="false" outlineLevel="0" collapsed="false">
      <c r="B15" s="6"/>
      <c r="C15" s="5"/>
      <c r="D15" s="4" t="str">
        <f aca="false">IF(B15="","",COUNTIF(Ученики!$E$5:$E$104,B15))</f>
        <v/>
      </c>
      <c r="E15" s="4" t="str">
        <f aca="false">IF(B15="","",COUNTIFS(Ученики!$E$5:$E$104,B15,Ученики!$L$5:$L$104,"Да"))</f>
        <v/>
      </c>
    </row>
    <row r="16" customFormat="false" ht="15" hidden="false" customHeight="false" outlineLevel="0" collapsed="false">
      <c r="B16" s="6"/>
      <c r="C16" s="5"/>
      <c r="D16" s="4" t="str">
        <f aca="false">IF(B16="","",COUNTIF(Ученики!$E$5:$E$104,B16))</f>
        <v/>
      </c>
      <c r="E16" s="4" t="str">
        <f aca="false">IF(B16="","",COUNTIFS(Ученики!$E$5:$E$104,B16,Ученики!$L$5:$L$104,"Да"))</f>
        <v/>
      </c>
    </row>
    <row r="17" customFormat="false" ht="15" hidden="false" customHeight="false" outlineLevel="0" collapsed="false">
      <c r="B17" s="6"/>
      <c r="C17" s="5"/>
      <c r="D17" s="4" t="str">
        <f aca="false">IF(B17="","",COUNTIF(Ученики!$E$5:$E$104,B17))</f>
        <v/>
      </c>
      <c r="E17" s="4" t="str">
        <f aca="false">IF(B17="","",COUNTIFS(Ученики!$E$5:$E$104,B17,Ученики!$L$5:$L$104,"Да"))</f>
        <v/>
      </c>
    </row>
    <row r="18" customFormat="false" ht="15" hidden="false" customHeight="false" outlineLevel="0" collapsed="false">
      <c r="B18" s="6"/>
      <c r="C18" s="5"/>
      <c r="D18" s="4" t="str">
        <f aca="false">IF(B18="","",COUNTIF(Ученики!$E$5:$E$104,B18))</f>
        <v/>
      </c>
      <c r="E18" s="4" t="str">
        <f aca="false">IF(B18="","",COUNTIFS(Ученики!$E$5:$E$104,B18,Ученики!$L$5:$L$104,"Да"))</f>
        <v/>
      </c>
    </row>
    <row r="19" customFormat="false" ht="15" hidden="false" customHeight="false" outlineLevel="0" collapsed="false">
      <c r="B19" s="6"/>
      <c r="C19" s="5"/>
      <c r="D19" s="4" t="str">
        <f aca="false">IF(B19="","",COUNTIF(Ученики!$E$5:$E$104,B19))</f>
        <v/>
      </c>
      <c r="E19" s="4" t="str">
        <f aca="false">IF(B19="","",COUNTIFS(Ученики!$E$5:$E$104,B19,Ученики!$L$5:$L$104,"Да"))</f>
        <v/>
      </c>
    </row>
    <row r="20" customFormat="false" ht="15" hidden="false" customHeight="false" outlineLevel="0" collapsed="false">
      <c r="B20" s="6"/>
      <c r="C20" s="5"/>
      <c r="D20" s="4" t="str">
        <f aca="false">IF(B20="","",COUNTIF(Ученики!$E$5:$E$104,B20))</f>
        <v/>
      </c>
      <c r="E20" s="4" t="str">
        <f aca="false">IF(B20="","",COUNTIFS(Ученики!$E$5:$E$104,B20,Ученики!$L$5:$L$104,"Да"))</f>
        <v/>
      </c>
    </row>
    <row r="21" customFormat="false" ht="15" hidden="false" customHeight="false" outlineLevel="0" collapsed="false">
      <c r="B21" s="6"/>
      <c r="C21" s="5"/>
      <c r="D21" s="4" t="str">
        <f aca="false">IF(B21="","",COUNTIF(Ученики!$E$5:$E$104,B21))</f>
        <v/>
      </c>
      <c r="E21" s="4" t="str">
        <f aca="false">IF(B21="","",COUNTIFS(Ученики!$E$5:$E$104,B21,Ученики!$L$5:$L$104,"Да"))</f>
        <v/>
      </c>
    </row>
    <row r="22" customFormat="false" ht="15" hidden="false" customHeight="false" outlineLevel="0" collapsed="false">
      <c r="B22" s="6"/>
      <c r="C22" s="5"/>
      <c r="D22" s="4" t="str">
        <f aca="false">IF(B22="","",COUNTIF(Ученики!$E$5:$E$104,B22))</f>
        <v/>
      </c>
      <c r="E22" s="4" t="str">
        <f aca="false">IF(B22="","",COUNTIFS(Ученики!$E$5:$E$104,B22,Ученики!$L$5:$L$104,"Да"))</f>
        <v/>
      </c>
    </row>
    <row r="23" customFormat="false" ht="15" hidden="false" customHeight="false" outlineLevel="0" collapsed="false">
      <c r="B23" s="6"/>
      <c r="C23" s="5"/>
      <c r="D23" s="4" t="str">
        <f aca="false">IF(B23="","",COUNTIF(Ученики!$E$5:$E$104,B23))</f>
        <v/>
      </c>
      <c r="E23" s="4" t="str">
        <f aca="false">IF(B23="","",COUNTIFS(Ученики!$E$5:$E$104,B23,Ученики!$L$5:$L$104,"Да"))</f>
        <v/>
      </c>
    </row>
    <row r="24" customFormat="false" ht="15" hidden="false" customHeight="false" outlineLevel="0" collapsed="false">
      <c r="B24" s="6"/>
      <c r="C24" s="5"/>
      <c r="D24" s="4" t="str">
        <f aca="false">IF(B24="","",COUNTIF(Ученики!$E$5:$E$104,B24))</f>
        <v/>
      </c>
      <c r="E24" s="4" t="str">
        <f aca="false">IF(B24="","",COUNTIFS(Ученики!$E$5:$E$104,B24,Ученики!$L$5:$L$104,"Да"))</f>
        <v/>
      </c>
    </row>
    <row r="25" customFormat="false" ht="15" hidden="false" customHeight="false" outlineLevel="0" collapsed="false">
      <c r="B25" s="6"/>
      <c r="C25" s="5"/>
      <c r="D25" s="4" t="str">
        <f aca="false">IF(B25="","",COUNTIF(Ученики!$E$5:$E$104,B25))</f>
        <v/>
      </c>
      <c r="E25" s="4" t="str">
        <f aca="false">IF(B25="","",COUNTIFS(Ученики!$E$5:$E$104,B25,Ученики!$L$5:$L$104,"Да"))</f>
        <v/>
      </c>
    </row>
    <row r="26" customFormat="false" ht="15" hidden="false" customHeight="false" outlineLevel="0" collapsed="false">
      <c r="B26" s="6"/>
      <c r="C26" s="5"/>
      <c r="D26" s="4" t="str">
        <f aca="false">IF(B26="","",COUNTIF(Ученики!$E$5:$E$104,B26))</f>
        <v/>
      </c>
      <c r="E26" s="4" t="str">
        <f aca="false">IF(B26="","",COUNTIFS(Ученики!$E$5:$E$104,B26,Ученики!$L$5:$L$104,"Да"))</f>
        <v/>
      </c>
    </row>
    <row r="27" customFormat="false" ht="15" hidden="false" customHeight="false" outlineLevel="0" collapsed="false">
      <c r="B27" s="6"/>
      <c r="C27" s="5"/>
      <c r="D27" s="4" t="str">
        <f aca="false">IF(B27="","",COUNTIF(Ученики!$E$5:$E$104,B27))</f>
        <v/>
      </c>
      <c r="E27" s="4" t="str">
        <f aca="false">IF(B27="","",COUNTIFS(Ученики!$E$5:$E$104,B27,Ученики!$L$5:$L$104,"Да"))</f>
        <v/>
      </c>
    </row>
    <row r="28" customFormat="false" ht="15" hidden="false" customHeight="false" outlineLevel="0" collapsed="false">
      <c r="B28" s="6"/>
      <c r="C28" s="5"/>
      <c r="D28" s="4" t="str">
        <f aca="false">IF(B28="","",COUNTIF(Ученики!$E$5:$E$104,B28))</f>
        <v/>
      </c>
      <c r="E28" s="4" t="str">
        <f aca="false">IF(B28="","",COUNTIFS(Ученики!$E$5:$E$104,B28,Ученики!$L$5:$L$104,"Да"))</f>
        <v/>
      </c>
    </row>
    <row r="29" customFormat="false" ht="15" hidden="false" customHeight="false" outlineLevel="0" collapsed="false">
      <c r="B29" s="6"/>
      <c r="C29" s="5"/>
      <c r="D29" s="4" t="str">
        <f aca="false">IF(B29="","",COUNTIF(Ученики!$E$5:$E$104,B29))</f>
        <v/>
      </c>
      <c r="E29" s="4" t="str">
        <f aca="false">IF(B29="","",COUNTIFS(Ученики!$E$5:$E$104,B29,Ученики!$L$5:$L$104,"Да"))</f>
        <v/>
      </c>
    </row>
    <row r="30" customFormat="false" ht="15" hidden="false" customHeight="false" outlineLevel="0" collapsed="false">
      <c r="B30" s="6"/>
      <c r="C30" s="5"/>
      <c r="D30" s="4" t="str">
        <f aca="false">IF(B30="","",COUNTIF(Ученики!$E$5:$E$104,B30))</f>
        <v/>
      </c>
      <c r="E30" s="4" t="str">
        <f aca="false">IF(B30="","",COUNTIFS(Ученики!$E$5:$E$104,B30,Ученики!$L$5:$L$104,"Да"))</f>
        <v/>
      </c>
    </row>
    <row r="31" customFormat="false" ht="15" hidden="false" customHeight="false" outlineLevel="0" collapsed="false">
      <c r="B31" s="6"/>
      <c r="C31" s="5"/>
      <c r="D31" s="4" t="str">
        <f aca="false">IF(B31="","",COUNTIF(Ученики!$E$5:$E$104,B31))</f>
        <v/>
      </c>
      <c r="E31" s="4" t="str">
        <f aca="false">IF(B31="","",COUNTIFS(Ученики!$E$5:$E$104,B31,Ученики!$L$5:$L$104,"Да"))</f>
        <v/>
      </c>
    </row>
    <row r="32" customFormat="false" ht="15" hidden="false" customHeight="false" outlineLevel="0" collapsed="false">
      <c r="B32" s="6"/>
      <c r="C32" s="5"/>
      <c r="D32" s="4" t="str">
        <f aca="false">IF(B32="","",COUNTIF(Ученики!$E$5:$E$104,B32))</f>
        <v/>
      </c>
      <c r="E32" s="4" t="str">
        <f aca="false">IF(B32="","",COUNTIFS(Ученики!$E$5:$E$104,B32,Ученики!$L$5:$L$104,"Да"))</f>
        <v/>
      </c>
    </row>
    <row r="33" customFormat="false" ht="15" hidden="false" customHeight="false" outlineLevel="0" collapsed="false">
      <c r="B33" s="6"/>
      <c r="C33" s="5"/>
      <c r="D33" s="4" t="str">
        <f aca="false">IF(B33="","",COUNTIF(Ученики!$E$5:$E$104,B33))</f>
        <v/>
      </c>
      <c r="E33" s="4" t="str">
        <f aca="false">IF(B33="","",COUNTIFS(Ученики!$E$5:$E$104,B33,Ученики!$L$5:$L$104,"Да"))</f>
        <v/>
      </c>
    </row>
    <row r="34" customFormat="false" ht="15" hidden="false" customHeight="false" outlineLevel="0" collapsed="false">
      <c r="B34" s="10" t="s">
        <v>19</v>
      </c>
      <c r="C34" s="10"/>
      <c r="D34" s="11" t="n">
        <f aca="false">SUM(D4:D33)</f>
        <v>0</v>
      </c>
      <c r="E34" s="11" t="n">
        <f aca="false">SUM(E4:E33)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</cols>
  <sheetData>
    <row r="1" customFormat="false" ht="17.35" hidden="false" customHeight="false" outlineLevel="0" collapsed="false">
      <c r="B1" s="1" t="s">
        <v>20</v>
      </c>
    </row>
    <row r="3" customFormat="false" ht="15" hidden="false" customHeight="false" outlineLevel="0" collapsed="false">
      <c r="B3" s="12" t="s">
        <v>21</v>
      </c>
      <c r="C3" s="13" t="n">
        <v>46322</v>
      </c>
    </row>
    <row r="5" customFormat="false" ht="15" hidden="false" customHeight="false" outlineLevel="0" collapsed="false">
      <c r="B5" s="14" t="s">
        <v>22</v>
      </c>
    </row>
    <row r="6" customFormat="false" ht="30" hidden="false" customHeight="true" outlineLevel="0" collapsed="false">
      <c r="B6" s="3" t="s">
        <v>23</v>
      </c>
      <c r="C6" s="3" t="s">
        <v>24</v>
      </c>
      <c r="D6" s="3" t="s">
        <v>25</v>
      </c>
    </row>
    <row r="7" customFormat="false" ht="15" hidden="false" customHeight="false" outlineLevel="0" collapsed="false">
      <c r="B7" s="5" t="s">
        <v>26</v>
      </c>
      <c r="C7" s="9"/>
      <c r="D7" s="4" t="n">
        <f aca="false">IF(B7="","",COUNTIF(Ученики!$G$5:$G$104,B7))</f>
        <v>0</v>
      </c>
    </row>
    <row r="8" customFormat="false" ht="15" hidden="false" customHeight="false" outlineLevel="0" collapsed="false">
      <c r="B8" s="5" t="s">
        <v>27</v>
      </c>
      <c r="C8" s="9"/>
      <c r="D8" s="4" t="n">
        <f aca="false">IF(B8="","",COUNTIF(Ученики!$G$5:$G$104,B8))</f>
        <v>0</v>
      </c>
    </row>
    <row r="9" customFormat="false" ht="15" hidden="false" customHeight="false" outlineLevel="0" collapsed="false">
      <c r="B9" s="5" t="s">
        <v>28</v>
      </c>
      <c r="C9" s="9"/>
      <c r="D9" s="4" t="n">
        <f aca="false">IF(B9="","",COUNTIF(Ученики!$G$5:$G$104,B9))</f>
        <v>0</v>
      </c>
    </row>
    <row r="11" customFormat="false" ht="15" hidden="false" customHeight="false" outlineLevel="0" collapsed="false">
      <c r="B11" s="14" t="s">
        <v>29</v>
      </c>
    </row>
    <row r="12" customFormat="false" ht="15" hidden="false" customHeight="false" outlineLevel="0" collapsed="false">
      <c r="B12" s="12" t="s">
        <v>30</v>
      </c>
      <c r="C12" s="15" t="n">
        <f aca="false">COUNTA(Ученики!$B$5:$B$104)</f>
        <v>0</v>
      </c>
    </row>
    <row r="13" customFormat="false" ht="15" hidden="false" customHeight="false" outlineLevel="0" collapsed="false">
      <c r="B13" s="12" t="s">
        <v>31</v>
      </c>
      <c r="C13" s="15" t="n">
        <f aca="false">COUNTA(Ученики!$G$5:$G$104)</f>
        <v>0</v>
      </c>
    </row>
    <row r="14" customFormat="false" ht="15" hidden="false" customHeight="false" outlineLevel="0" collapsed="false">
      <c r="B14" s="12" t="s">
        <v>32</v>
      </c>
      <c r="C14" s="15" t="n">
        <f aca="false">C12-C13</f>
        <v>0</v>
      </c>
    </row>
    <row r="15" customFormat="false" ht="15" hidden="false" customHeight="false" outlineLevel="0" collapsed="false">
      <c r="B15" s="12" t="s">
        <v>33</v>
      </c>
      <c r="C15" s="15" t="n">
        <f aca="false">COUNTIF(Ученики!$K$5:$K$104,"Оплачено")</f>
        <v>0</v>
      </c>
    </row>
    <row r="16" customFormat="false" ht="15" hidden="false" customHeight="false" outlineLevel="0" collapsed="false">
      <c r="B16" s="12" t="s">
        <v>34</v>
      </c>
      <c r="C16" s="15" t="n">
        <f aca="false">COUNTIF(Ученики!$K$5:$K$104,"Частично")</f>
        <v>0</v>
      </c>
    </row>
    <row r="17" customFormat="false" ht="15" hidden="false" customHeight="false" outlineLevel="0" collapsed="false">
      <c r="B17" s="12" t="s">
        <v>35</v>
      </c>
      <c r="C17" s="15" t="n">
        <f aca="false">COUNTIF(Ученики!$K$5:$K$104,"Не оплачено")</f>
        <v>0</v>
      </c>
    </row>
    <row r="18" customFormat="false" ht="15" hidden="false" customHeight="false" outlineLevel="0" collapsed="false">
      <c r="B18" s="12" t="s">
        <v>36</v>
      </c>
      <c r="C18" s="16" t="n">
        <f aca="false">SUM(Ученики!$I$5:$I$104)</f>
        <v>0</v>
      </c>
    </row>
    <row r="19" customFormat="false" ht="15" hidden="false" customHeight="false" outlineLevel="0" collapsed="false">
      <c r="B19" s="12" t="s">
        <v>37</v>
      </c>
      <c r="C19" s="16" t="n">
        <f aca="false">SUM(Ученики!$H$5:$H$104)</f>
        <v>0</v>
      </c>
    </row>
    <row r="20" customFormat="false" ht="15" hidden="false" customHeight="false" outlineLevel="0" collapsed="false">
      <c r="B20" s="12" t="s">
        <v>38</v>
      </c>
      <c r="C20" s="16" t="n">
        <f aca="false">C19-C18</f>
        <v>0</v>
      </c>
    </row>
    <row r="21" customFormat="false" ht="15" hidden="false" customHeight="false" outlineLevel="0" collapsed="false">
      <c r="B21" s="12" t="s">
        <v>39</v>
      </c>
      <c r="C21" s="15" t="n">
        <f aca="false">COUNTIF(Ученики!$L$5:$L$104,"Да")</f>
        <v>0</v>
      </c>
    </row>
    <row r="23" customFormat="false" ht="15" hidden="false" customHeight="false" outlineLevel="0" collapsed="false">
      <c r="B23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4" t="s">
        <v>41</v>
      </c>
    </row>
    <row r="2" customFormat="false" ht="15" hidden="false" customHeight="false" outlineLevel="0" collapsed="false">
      <c r="A2" s="17" t="s">
        <v>42</v>
      </c>
    </row>
    <row r="3" customFormat="false" ht="15" hidden="false" customHeight="false" outlineLevel="0" collapsed="false">
      <c r="A3" s="17" t="s">
        <v>43</v>
      </c>
    </row>
    <row r="4" customFormat="false" ht="15" hidden="false" customHeight="false" outlineLevel="0" collapsed="false">
      <c r="A4" s="17" t="s">
        <v>44</v>
      </c>
    </row>
    <row r="5" customFormat="false" ht="15" hidden="false" customHeight="false" outlineLevel="0" collapsed="false">
      <c r="A5" s="17" t="s">
        <v>45</v>
      </c>
    </row>
    <row r="6" customFormat="false" ht="15" hidden="false" customHeight="false" outlineLevel="0" collapsed="false">
      <c r="A6" s="17" t="s">
        <v>46</v>
      </c>
    </row>
    <row r="7" customFormat="false" ht="15" hidden="false" customHeight="false" outlineLevel="0" collapsed="false">
      <c r="A7" s="17" t="s">
        <v>47</v>
      </c>
    </row>
    <row r="8" customFormat="false" ht="15" hidden="false" customHeight="false" outlineLevel="0" collapsed="false">
      <c r="A8" s="17"/>
    </row>
    <row r="9" customFormat="false" ht="15" hidden="false" customHeight="false" outlineLevel="0" collapsed="false">
      <c r="A9" s="14" t="s">
        <v>48</v>
      </c>
    </row>
    <row r="11" customFormat="false" ht="26.85" hidden="false" customHeight="false" outlineLevel="0" collapsed="false">
      <c r="A11" s="3" t="s">
        <v>3</v>
      </c>
      <c r="B11" s="3" t="s">
        <v>4</v>
      </c>
      <c r="C11" s="3" t="s">
        <v>5</v>
      </c>
      <c r="D11" s="3" t="s">
        <v>6</v>
      </c>
      <c r="E11" s="3" t="s">
        <v>8</v>
      </c>
      <c r="F11" s="3" t="s">
        <v>10</v>
      </c>
      <c r="G11" s="3" t="s">
        <v>14</v>
      </c>
    </row>
    <row r="12" customFormat="false" ht="15" hidden="false" customHeight="false" outlineLevel="0" collapsed="false">
      <c r="A12" s="18" t="s">
        <v>49</v>
      </c>
      <c r="B12" s="18" t="s">
        <v>50</v>
      </c>
      <c r="C12" s="18" t="s">
        <v>51</v>
      </c>
      <c r="D12" s="18" t="s">
        <v>52</v>
      </c>
      <c r="E12" s="18" t="s">
        <v>27</v>
      </c>
      <c r="F12" s="19" t="n">
        <v>45000</v>
      </c>
      <c r="G12" s="18" t="s">
        <v>53</v>
      </c>
    </row>
    <row r="14" customFormat="false" ht="15" hidden="false" customHeight="false" outlineLevel="0" collapsed="false">
      <c r="A14" s="20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2026-10-09T06:39:19Z</dcterms:created>
  <dc:creator>openpyxl</dc:creator>
  <dc:description/>
  <dc:language>en-US</dc:language>
  <cp:lastModifiedBy/>
  <dcterms:modified xsi:type="dcterms:W3CDTF">2026-10-09T06:39:19Z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