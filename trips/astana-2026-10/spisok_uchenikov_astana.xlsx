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Ученики" sheetId="1" state="visible" r:id="rId3"/>
    <sheet name="Сводка" sheetId="2" state="visible" r:id="rId4"/>
    <sheet name="Инструкция" sheetId="3" state="visible" r:id="rId5"/>
  </sheets>
  <definedNames>
    <definedName function="false" hidden="false" localSheetId="0" name="_xlnm.Print_Titles" vbProcedure="false">Ученики!$4:$4</definedName>
    <definedName function="false" hidden="true" localSheetId="0" name="_xlnm._FilterDatabase" vbProcedure="false">Ученики!$A$4:$O$104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Впишите сумму, когда станет известна. От неё считаются остаток и статус оплаты.</t>
        </r>
      </text>
    </comment>
  </commentList>
</comments>
</file>

<file path=xl/sharedStrings.xml><?xml version="1.0" encoding="utf-8"?>
<sst xmlns="http://schemas.openxmlformats.org/spreadsheetml/2006/main" count="64" uniqueCount="55">
  <si>
    <t xml:space="preserve">Список учеников — поездка в Астану (университеты), 27–28 октября 2026</t>
  </si>
  <si>
    <t xml:space="preserve">Жёлтые ячейки заполняются, серые считаются сами. Стоимость поездки задаётся на листе «Сводка».</t>
  </si>
  <si>
    <t xml:space="preserve">№</t>
  </si>
  <si>
    <t xml:space="preserve">Фамилия</t>
  </si>
  <si>
    <t xml:space="preserve">Имя</t>
  </si>
  <si>
    <t xml:space="preserve">Отчество</t>
  </si>
  <si>
    <t xml:space="preserve">Класс</t>
  </si>
  <si>
    <t xml:space="preserve">Дата рождения</t>
  </si>
  <si>
    <t xml:space="preserve">Возраст на дату выезда</t>
  </si>
  <si>
    <t xml:space="preserve">ИИН</t>
  </si>
  <si>
    <t xml:space="preserve">Согласие родителей</t>
  </si>
  <si>
    <t xml:space="preserve">Мед. справка</t>
  </si>
  <si>
    <t xml:space="preserve">Оплачено, тг</t>
  </si>
  <si>
    <t xml:space="preserve">Остаток, тг</t>
  </si>
  <si>
    <t xml:space="preserve">Статус оплаты</t>
  </si>
  <si>
    <t xml:space="preserve">Готов к поездке</t>
  </si>
  <si>
    <t xml:space="preserve">Примечание</t>
  </si>
  <si>
    <t xml:space="preserve">Поездка в Астану: посещение университетов, 27–28 октября 2026</t>
  </si>
  <si>
    <t xml:space="preserve">Настройки</t>
  </si>
  <si>
    <t xml:space="preserve">Стоимость поездки на одного ученика, тг</t>
  </si>
  <si>
    <t xml:space="preserve">Дата выезда</t>
  </si>
  <si>
    <t xml:space="preserve">Итоги</t>
  </si>
  <si>
    <t xml:space="preserve">Учеников в списке</t>
  </si>
  <si>
    <t xml:space="preserve">Согласие родителей получено</t>
  </si>
  <si>
    <t xml:space="preserve">Мед. справка сдана</t>
  </si>
  <si>
    <t xml:space="preserve">Оплатили полностью</t>
  </si>
  <si>
    <t xml:space="preserve">Оплатили частично</t>
  </si>
  <si>
    <t xml:space="preserve">Не оплатили</t>
  </si>
  <si>
    <t xml:space="preserve">Собрано, тг</t>
  </si>
  <si>
    <t xml:space="preserve">Ожидается всего, тг</t>
  </si>
  <si>
    <t xml:space="preserve">Осталось собрать, тг</t>
  </si>
  <si>
    <t xml:space="preserve">Полностью готовы к поездке</t>
  </si>
  <si>
    <t xml:space="preserve">По классам</t>
  </si>
  <si>
    <t xml:space="preserve">Класс (впишите)</t>
  </si>
  <si>
    <t xml:space="preserve">Учеников</t>
  </si>
  <si>
    <t xml:space="preserve">Готовы</t>
  </si>
  <si>
    <t xml:space="preserve">Как заполнять</t>
  </si>
  <si>
    <t xml:space="preserve">1. Лист «Ученики»: одна строка — один ученик. Заполняйте только жёлтые ячейки.</t>
  </si>
  <si>
    <t xml:space="preserve">2. Серые ячейки (№, возраст, остаток, статус оплаты, «Готов к поездке») считаются сами — их не трогайте.</t>
  </si>
  <si>
    <t xml:space="preserve">3. ИИН вводится как 12 цифр (ячейка текстовая, ведущие нули сохраняются). Нужен для билетов и заселения.</t>
  </si>
  <si>
    <t xml:space="preserve">4. «Согласие родителей» и «Мед. справка» — выбор из списка Да / Нет.</t>
  </si>
  <si>
    <t xml:space="preserve">5. Когда станет известна стоимость поездки, впишите её на листе «Сводка» в ячейку C4 — статусы оплаты пересчитаются.</t>
  </si>
  <si>
    <t xml:space="preserve">6. «Готов к поездке» = Да, только если есть ИИН из 12 цифр, согласие, справка и полная оплата.</t>
  </si>
  <si>
    <t xml:space="preserve">7. На листе «Сводка» в таблице «По классам» впишите классы точно так же, как в списке (например, 11 «А»).</t>
  </si>
  <si>
    <t xml:space="preserve">Пример заполненной строки (вымышленный ученик, в список не переносить)</t>
  </si>
  <si>
    <t xml:space="preserve">Согласие</t>
  </si>
  <si>
    <t xml:space="preserve">Справка</t>
  </si>
  <si>
    <t xml:space="preserve">Иванов</t>
  </si>
  <si>
    <t xml:space="preserve">Арман</t>
  </si>
  <si>
    <t xml:space="preserve">Серикович</t>
  </si>
  <si>
    <t xml:space="preserve">11 «А»</t>
  </si>
  <si>
    <t xml:space="preserve">090314500123</t>
  </si>
  <si>
    <t xml:space="preserve">Да</t>
  </si>
  <si>
    <t xml:space="preserve">Вегетарианец</t>
  </si>
  <si>
    <t xml:space="preserve">Важно: файл с ИИН — персональные данные. Не выкладывайте заполненный список в общий доступ и в репозиторий.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</si>
</sst>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@"/>
    <numFmt numFmtId="167" formatCode="#,##0"/>
    <numFmt numFmtId="168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EEEE"/>
        <bgColor rgb="FFFFF9DB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str">
        <f aca="false">IF(B5="","",ROW()-4)</f>
        <v/>
      </c>
      <c r="B5" s="5"/>
      <c r="C5" s="5"/>
      <c r="D5" s="5"/>
      <c r="E5" s="5"/>
      <c r="F5" s="6"/>
      <c r="G5" s="4" t="str">
        <f aca="false">IF(F5="","",DATEDIF(F5,Сводка!$C$5,"Y"))</f>
        <v/>
      </c>
      <c r="H5" s="7"/>
      <c r="I5" s="8"/>
      <c r="J5" s="8"/>
      <c r="K5" s="9"/>
      <c r="L5" s="10" t="str">
        <f aca="false">IF(OR(B5="",Сводка!$C$4=""),"",Сводка!$C$4-K5)</f>
        <v/>
      </c>
      <c r="M5" s="4" t="str">
        <f aca="false">IF(OR(B5="",Сводка!$C$4=""),"",IF(K5&gt;=Сводка!$C$4,"Оплачено",IF(K5&gt;0,"Частично","Не оплачено")))</f>
        <v/>
      </c>
      <c r="N5" s="4" t="str">
        <f aca="false">IF(B5="","",IF(AND(LEN(H5)=12,I5="Да",J5="Да",M5="Оплачено"),"Да","Нет"))</f>
        <v/>
      </c>
      <c r="O5" s="5"/>
    </row>
    <row r="6" customFormat="false" ht="15" hidden="false" customHeight="false" outlineLevel="0" collapsed="false">
      <c r="A6" s="4" t="str">
        <f aca="false">IF(B6="","",ROW()-4)</f>
        <v/>
      </c>
      <c r="B6" s="5"/>
      <c r="C6" s="5"/>
      <c r="D6" s="5"/>
      <c r="E6" s="5"/>
      <c r="F6" s="6"/>
      <c r="G6" s="4" t="str">
        <f aca="false">IF(F6="","",DATEDIF(F6,Сводка!$C$5,"Y"))</f>
        <v/>
      </c>
      <c r="H6" s="7"/>
      <c r="I6" s="8"/>
      <c r="J6" s="8"/>
      <c r="K6" s="9"/>
      <c r="L6" s="10" t="str">
        <f aca="false">IF(OR(B6="",Сводка!$C$4=""),"",Сводка!$C$4-K6)</f>
        <v/>
      </c>
      <c r="M6" s="4" t="str">
        <f aca="false">IF(OR(B6="",Сводка!$C$4=""),"",IF(K6&gt;=Сводка!$C$4,"Оплачено",IF(K6&gt;0,"Частично","Не оплачено")))</f>
        <v/>
      </c>
      <c r="N6" s="4" t="str">
        <f aca="false">IF(B6="","",IF(AND(LEN(H6)=12,I6="Да",J6="Да",M6="Оплачено"),"Да","Нет"))</f>
        <v/>
      </c>
      <c r="O6" s="5"/>
    </row>
    <row r="7" customFormat="false" ht="15" hidden="false" customHeight="false" outlineLevel="0" collapsed="false">
      <c r="A7" s="4" t="str">
        <f aca="false">IF(B7="","",ROW()-4)</f>
        <v/>
      </c>
      <c r="B7" s="5"/>
      <c r="C7" s="5"/>
      <c r="D7" s="5"/>
      <c r="E7" s="5"/>
      <c r="F7" s="6"/>
      <c r="G7" s="4" t="str">
        <f aca="false">IF(F7="","",DATEDIF(F7,Сводка!$C$5,"Y"))</f>
        <v/>
      </c>
      <c r="H7" s="7"/>
      <c r="I7" s="8"/>
      <c r="J7" s="8"/>
      <c r="K7" s="9"/>
      <c r="L7" s="10" t="str">
        <f aca="false">IF(OR(B7="",Сводка!$C$4=""),"",Сводка!$C$4-K7)</f>
        <v/>
      </c>
      <c r="M7" s="4" t="str">
        <f aca="false">IF(OR(B7="",Сводка!$C$4=""),"",IF(K7&gt;=Сводка!$C$4,"Оплачено",IF(K7&gt;0,"Частично","Не оплачено")))</f>
        <v/>
      </c>
      <c r="N7" s="4" t="str">
        <f aca="false">IF(B7="","",IF(AND(LEN(H7)=12,I7="Да",J7="Да",M7="Оплачено"),"Да","Нет"))</f>
        <v/>
      </c>
      <c r="O7" s="5"/>
    </row>
    <row r="8" customFormat="false" ht="15" hidden="false" customHeight="false" outlineLevel="0" collapsed="false">
      <c r="A8" s="4" t="str">
        <f aca="false">IF(B8="","",ROW()-4)</f>
        <v/>
      </c>
      <c r="B8" s="5"/>
      <c r="C8" s="5"/>
      <c r="D8" s="5"/>
      <c r="E8" s="5"/>
      <c r="F8" s="6"/>
      <c r="G8" s="4" t="str">
        <f aca="false">IF(F8="","",DATEDIF(F8,Сводка!$C$5,"Y"))</f>
        <v/>
      </c>
      <c r="H8" s="7"/>
      <c r="I8" s="8"/>
      <c r="J8" s="8"/>
      <c r="K8" s="9"/>
      <c r="L8" s="10" t="str">
        <f aca="false">IF(OR(B8="",Сводка!$C$4=""),"",Сводка!$C$4-K8)</f>
        <v/>
      </c>
      <c r="M8" s="4" t="str">
        <f aca="false">IF(OR(B8="",Сводка!$C$4=""),"",IF(K8&gt;=Сводка!$C$4,"Оплачено",IF(K8&gt;0,"Частично","Не оплачено")))</f>
        <v/>
      </c>
      <c r="N8" s="4" t="str">
        <f aca="false">IF(B8="","",IF(AND(LEN(H8)=12,I8="Да",J8="Да",M8="Оплачено"),"Да","Нет"))</f>
        <v/>
      </c>
      <c r="O8" s="5"/>
    </row>
    <row r="9" customFormat="false" ht="15" hidden="false" customHeight="false" outlineLevel="0" collapsed="false">
      <c r="A9" s="4" t="str">
        <f aca="false">IF(B9="","",ROW()-4)</f>
        <v/>
      </c>
      <c r="B9" s="5"/>
      <c r="C9" s="5"/>
      <c r="D9" s="5"/>
      <c r="E9" s="5"/>
      <c r="F9" s="6"/>
      <c r="G9" s="4" t="str">
        <f aca="false">IF(F9="","",DATEDIF(F9,Сводка!$C$5,"Y"))</f>
        <v/>
      </c>
      <c r="H9" s="7"/>
      <c r="I9" s="8"/>
      <c r="J9" s="8"/>
      <c r="K9" s="9"/>
      <c r="L9" s="10" t="str">
        <f aca="false">IF(OR(B9="",Сводка!$C$4=""),"",Сводка!$C$4-K9)</f>
        <v/>
      </c>
      <c r="M9" s="4" t="str">
        <f aca="false">IF(OR(B9="",Сводка!$C$4=""),"",IF(K9&gt;=Сводка!$C$4,"Оплачено",IF(K9&gt;0,"Частично","Не оплачено")))</f>
        <v/>
      </c>
      <c r="N9" s="4" t="str">
        <f aca="false">IF(B9="","",IF(AND(LEN(H9)=12,I9="Да",J9="Да",M9="Оплачено"),"Да","Нет"))</f>
        <v/>
      </c>
      <c r="O9" s="5"/>
    </row>
    <row r="10" customFormat="false" ht="15" hidden="false" customHeight="false" outlineLevel="0" collapsed="false">
      <c r="A10" s="4" t="str">
        <f aca="false">IF(B10="","",ROW()-4)</f>
        <v/>
      </c>
      <c r="B10" s="5"/>
      <c r="C10" s="5"/>
      <c r="D10" s="5"/>
      <c r="E10" s="5"/>
      <c r="F10" s="6"/>
      <c r="G10" s="4" t="str">
        <f aca="false">IF(F10="","",DATEDIF(F10,Сводка!$C$5,"Y"))</f>
        <v/>
      </c>
      <c r="H10" s="7"/>
      <c r="I10" s="8"/>
      <c r="J10" s="8"/>
      <c r="K10" s="9"/>
      <c r="L10" s="10" t="str">
        <f aca="false">IF(OR(B10="",Сводка!$C$4=""),"",Сводка!$C$4-K10)</f>
        <v/>
      </c>
      <c r="M10" s="4" t="str">
        <f aca="false">IF(OR(B10="",Сводка!$C$4=""),"",IF(K10&gt;=Сводка!$C$4,"Оплачено",IF(K10&gt;0,"Частично","Не оплачено")))</f>
        <v/>
      </c>
      <c r="N10" s="4" t="str">
        <f aca="false">IF(B10="","",IF(AND(LEN(H10)=12,I10="Да",J10="Да",M10="Оплачено"),"Да","Нет"))</f>
        <v/>
      </c>
      <c r="O10" s="5"/>
    </row>
    <row r="11" customFormat="false" ht="15" hidden="false" customHeight="false" outlineLevel="0" collapsed="false">
      <c r="A11" s="4" t="str">
        <f aca="false">IF(B11="","",ROW()-4)</f>
        <v/>
      </c>
      <c r="B11" s="5"/>
      <c r="C11" s="5"/>
      <c r="D11" s="5"/>
      <c r="E11" s="5"/>
      <c r="F11" s="6"/>
      <c r="G11" s="4" t="str">
        <f aca="false">IF(F11="","",DATEDIF(F11,Сводка!$C$5,"Y"))</f>
        <v/>
      </c>
      <c r="H11" s="7"/>
      <c r="I11" s="8"/>
      <c r="J11" s="8"/>
      <c r="K11" s="9"/>
      <c r="L11" s="10" t="str">
        <f aca="false">IF(OR(B11="",Сводка!$C$4=""),"",Сводка!$C$4-K11)</f>
        <v/>
      </c>
      <c r="M11" s="4" t="str">
        <f aca="false">IF(OR(B11="",Сводка!$C$4=""),"",IF(K11&gt;=Сводка!$C$4,"Оплачено",IF(K11&gt;0,"Частично","Не оплачено")))</f>
        <v/>
      </c>
      <c r="N11" s="4" t="str">
        <f aca="false">IF(B11="","",IF(AND(LEN(H11)=12,I11="Да",J11="Да",M11="Оплачено"),"Да","Нет"))</f>
        <v/>
      </c>
      <c r="O11" s="5"/>
    </row>
    <row r="12" customFormat="false" ht="15" hidden="false" customHeight="false" outlineLevel="0" collapsed="false">
      <c r="A12" s="4" t="str">
        <f aca="false">IF(B12="","",ROW()-4)</f>
        <v/>
      </c>
      <c r="B12" s="5"/>
      <c r="C12" s="5"/>
      <c r="D12" s="5"/>
      <c r="E12" s="5"/>
      <c r="F12" s="6"/>
      <c r="G12" s="4" t="str">
        <f aca="false">IF(F12="","",DATEDIF(F12,Сводка!$C$5,"Y"))</f>
        <v/>
      </c>
      <c r="H12" s="7"/>
      <c r="I12" s="8"/>
      <c r="J12" s="8"/>
      <c r="K12" s="9"/>
      <c r="L12" s="10" t="str">
        <f aca="false">IF(OR(B12="",Сводка!$C$4=""),"",Сводка!$C$4-K12)</f>
        <v/>
      </c>
      <c r="M12" s="4" t="str">
        <f aca="false">IF(OR(B12="",Сводка!$C$4=""),"",IF(K12&gt;=Сводка!$C$4,"Оплачено",IF(K12&gt;0,"Частично","Не оплачено")))</f>
        <v/>
      </c>
      <c r="N12" s="4" t="str">
        <f aca="false">IF(B12="","",IF(AND(LEN(H12)=12,I12="Да",J12="Да",M12="Оплачено"),"Да","Нет"))</f>
        <v/>
      </c>
      <c r="O12" s="5"/>
    </row>
    <row r="13" customFormat="false" ht="15" hidden="false" customHeight="false" outlineLevel="0" collapsed="false">
      <c r="A13" s="4" t="str">
        <f aca="false">IF(B13="","",ROW()-4)</f>
        <v/>
      </c>
      <c r="B13" s="5"/>
      <c r="C13" s="5"/>
      <c r="D13" s="5"/>
      <c r="E13" s="5"/>
      <c r="F13" s="6"/>
      <c r="G13" s="4" t="str">
        <f aca="false">IF(F13="","",DATEDIF(F13,Сводка!$C$5,"Y"))</f>
        <v/>
      </c>
      <c r="H13" s="7"/>
      <c r="I13" s="8"/>
      <c r="J13" s="8"/>
      <c r="K13" s="9"/>
      <c r="L13" s="10" t="str">
        <f aca="false">IF(OR(B13="",Сводка!$C$4=""),"",Сводка!$C$4-K13)</f>
        <v/>
      </c>
      <c r="M13" s="4" t="str">
        <f aca="false">IF(OR(B13="",Сводка!$C$4=""),"",IF(K13&gt;=Сводка!$C$4,"Оплачено",IF(K13&gt;0,"Частично","Не оплачено")))</f>
        <v/>
      </c>
      <c r="N13" s="4" t="str">
        <f aca="false">IF(B13="","",IF(AND(LEN(H13)=12,I13="Да",J13="Да",M13="Оплачено"),"Да","Нет"))</f>
        <v/>
      </c>
      <c r="O13" s="5"/>
    </row>
    <row r="14" customFormat="false" ht="15" hidden="false" customHeight="false" outlineLevel="0" collapsed="false">
      <c r="A14" s="4" t="str">
        <f aca="false">IF(B14="","",ROW()-4)</f>
        <v/>
      </c>
      <c r="B14" s="5"/>
      <c r="C14" s="5"/>
      <c r="D14" s="5"/>
      <c r="E14" s="5"/>
      <c r="F14" s="6"/>
      <c r="G14" s="4" t="str">
        <f aca="false">IF(F14="","",DATEDIF(F14,Сводка!$C$5,"Y"))</f>
        <v/>
      </c>
      <c r="H14" s="7"/>
      <c r="I14" s="8"/>
      <c r="J14" s="8"/>
      <c r="K14" s="9"/>
      <c r="L14" s="10" t="str">
        <f aca="false">IF(OR(B14="",Сводка!$C$4=""),"",Сводка!$C$4-K14)</f>
        <v/>
      </c>
      <c r="M14" s="4" t="str">
        <f aca="false">IF(OR(B14="",Сводка!$C$4=""),"",IF(K14&gt;=Сводка!$C$4,"Оплачено",IF(K14&gt;0,"Частично","Не оплачено")))</f>
        <v/>
      </c>
      <c r="N14" s="4" t="str">
        <f aca="false">IF(B14="","",IF(AND(LEN(H14)=12,I14="Да",J14="Да",M14="Оплачено"),"Да","Нет"))</f>
        <v/>
      </c>
      <c r="O14" s="5"/>
    </row>
    <row r="15" customFormat="false" ht="15" hidden="false" customHeight="false" outlineLevel="0" collapsed="false">
      <c r="A15" s="4" t="str">
        <f aca="false">IF(B15="","",ROW()-4)</f>
        <v/>
      </c>
      <c r="B15" s="5"/>
      <c r="C15" s="5"/>
      <c r="D15" s="5"/>
      <c r="E15" s="5"/>
      <c r="F15" s="6"/>
      <c r="G15" s="4" t="str">
        <f aca="false">IF(F15="","",DATEDIF(F15,Сводка!$C$5,"Y"))</f>
        <v/>
      </c>
      <c r="H15" s="7"/>
      <c r="I15" s="8"/>
      <c r="J15" s="8"/>
      <c r="K15" s="9"/>
      <c r="L15" s="10" t="str">
        <f aca="false">IF(OR(B15="",Сводка!$C$4=""),"",Сводка!$C$4-K15)</f>
        <v/>
      </c>
      <c r="M15" s="4" t="str">
        <f aca="false">IF(OR(B15="",Сводка!$C$4=""),"",IF(K15&gt;=Сводка!$C$4,"Оплачено",IF(K15&gt;0,"Частично","Не оплачено")))</f>
        <v/>
      </c>
      <c r="N15" s="4" t="str">
        <f aca="false">IF(B15="","",IF(AND(LEN(H15)=12,I15="Да",J15="Да",M15="Оплачено"),"Да","Нет"))</f>
        <v/>
      </c>
      <c r="O15" s="5"/>
    </row>
    <row r="16" customFormat="false" ht="15" hidden="false" customHeight="false" outlineLevel="0" collapsed="false">
      <c r="A16" s="4" t="str">
        <f aca="false">IF(B16="","",ROW()-4)</f>
        <v/>
      </c>
      <c r="B16" s="5"/>
      <c r="C16" s="5"/>
      <c r="D16" s="5"/>
      <c r="E16" s="5"/>
      <c r="F16" s="6"/>
      <c r="G16" s="4" t="str">
        <f aca="false">IF(F16="","",DATEDIF(F16,Сводка!$C$5,"Y"))</f>
        <v/>
      </c>
      <c r="H16" s="7"/>
      <c r="I16" s="8"/>
      <c r="J16" s="8"/>
      <c r="K16" s="9"/>
      <c r="L16" s="10" t="str">
        <f aca="false">IF(OR(B16="",Сводка!$C$4=""),"",Сводка!$C$4-K16)</f>
        <v/>
      </c>
      <c r="M16" s="4" t="str">
        <f aca="false">IF(OR(B16="",Сводка!$C$4=""),"",IF(K16&gt;=Сводка!$C$4,"Оплачено",IF(K16&gt;0,"Частично","Не оплачено")))</f>
        <v/>
      </c>
      <c r="N16" s="4" t="str">
        <f aca="false">IF(B16="","",IF(AND(LEN(H16)=12,I16="Да",J16="Да",M16="Оплачено"),"Да","Нет"))</f>
        <v/>
      </c>
      <c r="O16" s="5"/>
    </row>
    <row r="17" customFormat="false" ht="15" hidden="false" customHeight="false" outlineLevel="0" collapsed="false">
      <c r="A17" s="4" t="str">
        <f aca="false">IF(B17="","",ROW()-4)</f>
        <v/>
      </c>
      <c r="B17" s="5"/>
      <c r="C17" s="5"/>
      <c r="D17" s="5"/>
      <c r="E17" s="5"/>
      <c r="F17" s="6"/>
      <c r="G17" s="4" t="str">
        <f aca="false">IF(F17="","",DATEDIF(F17,Сводка!$C$5,"Y"))</f>
        <v/>
      </c>
      <c r="H17" s="7"/>
      <c r="I17" s="8"/>
      <c r="J17" s="8"/>
      <c r="K17" s="9"/>
      <c r="L17" s="10" t="str">
        <f aca="false">IF(OR(B17="",Сводка!$C$4=""),"",Сводка!$C$4-K17)</f>
        <v/>
      </c>
      <c r="M17" s="4" t="str">
        <f aca="false">IF(OR(B17="",Сводка!$C$4=""),"",IF(K17&gt;=Сводка!$C$4,"Оплачено",IF(K17&gt;0,"Частично","Не оплачено")))</f>
        <v/>
      </c>
      <c r="N17" s="4" t="str">
        <f aca="false">IF(B17="","",IF(AND(LEN(H17)=12,I17="Да",J17="Да",M17="Оплачено"),"Да","Нет"))</f>
        <v/>
      </c>
      <c r="O17" s="5"/>
    </row>
    <row r="18" customFormat="false" ht="15" hidden="false" customHeight="false" outlineLevel="0" collapsed="false">
      <c r="A18" s="4" t="str">
        <f aca="false">IF(B18="","",ROW()-4)</f>
        <v/>
      </c>
      <c r="B18" s="5"/>
      <c r="C18" s="5"/>
      <c r="D18" s="5"/>
      <c r="E18" s="5"/>
      <c r="F18" s="6"/>
      <c r="G18" s="4" t="str">
        <f aca="false">IF(F18="","",DATEDIF(F18,Сводка!$C$5,"Y"))</f>
        <v/>
      </c>
      <c r="H18" s="7"/>
      <c r="I18" s="8"/>
      <c r="J18" s="8"/>
      <c r="K18" s="9"/>
      <c r="L18" s="10" t="str">
        <f aca="false">IF(OR(B18="",Сводка!$C$4=""),"",Сводка!$C$4-K18)</f>
        <v/>
      </c>
      <c r="M18" s="4" t="str">
        <f aca="false">IF(OR(B18="",Сводка!$C$4=""),"",IF(K18&gt;=Сводка!$C$4,"Оплачено",IF(K18&gt;0,"Частично","Не оплачено")))</f>
        <v/>
      </c>
      <c r="N18" s="4" t="str">
        <f aca="false">IF(B18="","",IF(AND(LEN(H18)=12,I18="Да",J18="Да",M18="Оплачено"),"Да","Нет"))</f>
        <v/>
      </c>
      <c r="O18" s="5"/>
    </row>
    <row r="19" customFormat="false" ht="15" hidden="false" customHeight="false" outlineLevel="0" collapsed="false">
      <c r="A19" s="4" t="str">
        <f aca="false">IF(B19="","",ROW()-4)</f>
        <v/>
      </c>
      <c r="B19" s="5"/>
      <c r="C19" s="5"/>
      <c r="D19" s="5"/>
      <c r="E19" s="5"/>
      <c r="F19" s="6"/>
      <c r="G19" s="4" t="str">
        <f aca="false">IF(F19="","",DATEDIF(F19,Сводка!$C$5,"Y"))</f>
        <v/>
      </c>
      <c r="H19" s="7"/>
      <c r="I19" s="8"/>
      <c r="J19" s="8"/>
      <c r="K19" s="9"/>
      <c r="L19" s="10" t="str">
        <f aca="false">IF(OR(B19="",Сводка!$C$4=""),"",Сводка!$C$4-K19)</f>
        <v/>
      </c>
      <c r="M19" s="4" t="str">
        <f aca="false">IF(OR(B19="",Сводка!$C$4=""),"",IF(K19&gt;=Сводка!$C$4,"Оплачено",IF(K19&gt;0,"Частично","Не оплачено")))</f>
        <v/>
      </c>
      <c r="N19" s="4" t="str">
        <f aca="false">IF(B19="","",IF(AND(LEN(H19)=12,I19="Да",J19="Да",M19="Оплачено"),"Да","Нет"))</f>
        <v/>
      </c>
      <c r="O19" s="5"/>
    </row>
    <row r="20" customFormat="false" ht="15" hidden="false" customHeight="false" outlineLevel="0" collapsed="false">
      <c r="A20" s="4" t="str">
        <f aca="false">IF(B20="","",ROW()-4)</f>
        <v/>
      </c>
      <c r="B20" s="5"/>
      <c r="C20" s="5"/>
      <c r="D20" s="5"/>
      <c r="E20" s="5"/>
      <c r="F20" s="6"/>
      <c r="G20" s="4" t="str">
        <f aca="false">IF(F20="","",DATEDIF(F20,Сводка!$C$5,"Y"))</f>
        <v/>
      </c>
      <c r="H20" s="7"/>
      <c r="I20" s="8"/>
      <c r="J20" s="8"/>
      <c r="K20" s="9"/>
      <c r="L20" s="10" t="str">
        <f aca="false">IF(OR(B20="",Сводка!$C$4=""),"",Сводка!$C$4-K20)</f>
        <v/>
      </c>
      <c r="M20" s="4" t="str">
        <f aca="false">IF(OR(B20="",Сводка!$C$4=""),"",IF(K20&gt;=Сводка!$C$4,"Оплачено",IF(K20&gt;0,"Частично","Не оплачено")))</f>
        <v/>
      </c>
      <c r="N20" s="4" t="str">
        <f aca="false">IF(B20="","",IF(AND(LEN(H20)=12,I20="Да",J20="Да",M20="Оплачено"),"Да","Нет"))</f>
        <v/>
      </c>
      <c r="O20" s="5"/>
    </row>
    <row r="21" customFormat="false" ht="15" hidden="false" customHeight="false" outlineLevel="0" collapsed="false">
      <c r="A21" s="4" t="str">
        <f aca="false">IF(B21="","",ROW()-4)</f>
        <v/>
      </c>
      <c r="B21" s="5"/>
      <c r="C21" s="5"/>
      <c r="D21" s="5"/>
      <c r="E21" s="5"/>
      <c r="F21" s="6"/>
      <c r="G21" s="4" t="str">
        <f aca="false">IF(F21="","",DATEDIF(F21,Сводка!$C$5,"Y"))</f>
        <v/>
      </c>
      <c r="H21" s="7"/>
      <c r="I21" s="8"/>
      <c r="J21" s="8"/>
      <c r="K21" s="9"/>
      <c r="L21" s="10" t="str">
        <f aca="false">IF(OR(B21="",Сводка!$C$4=""),"",Сводка!$C$4-K21)</f>
        <v/>
      </c>
      <c r="M21" s="4" t="str">
        <f aca="false">IF(OR(B21="",Сводка!$C$4=""),"",IF(K21&gt;=Сводка!$C$4,"Оплачено",IF(K21&gt;0,"Частично","Не оплачено")))</f>
        <v/>
      </c>
      <c r="N21" s="4" t="str">
        <f aca="false">IF(B21="","",IF(AND(LEN(H21)=12,I21="Да",J21="Да",M21="Оплачено"),"Да","Нет"))</f>
        <v/>
      </c>
      <c r="O21" s="5"/>
    </row>
    <row r="22" customFormat="false" ht="15" hidden="false" customHeight="false" outlineLevel="0" collapsed="false">
      <c r="A22" s="4" t="str">
        <f aca="false">IF(B22="","",ROW()-4)</f>
        <v/>
      </c>
      <c r="B22" s="5"/>
      <c r="C22" s="5"/>
      <c r="D22" s="5"/>
      <c r="E22" s="5"/>
      <c r="F22" s="6"/>
      <c r="G22" s="4" t="str">
        <f aca="false">IF(F22="","",DATEDIF(F22,Сводка!$C$5,"Y"))</f>
        <v/>
      </c>
      <c r="H22" s="7"/>
      <c r="I22" s="8"/>
      <c r="J22" s="8"/>
      <c r="K22" s="9"/>
      <c r="L22" s="10" t="str">
        <f aca="false">IF(OR(B22="",Сводка!$C$4=""),"",Сводка!$C$4-K22)</f>
        <v/>
      </c>
      <c r="M22" s="4" t="str">
        <f aca="false">IF(OR(B22="",Сводка!$C$4=""),"",IF(K22&gt;=Сводка!$C$4,"Оплачено",IF(K22&gt;0,"Частично","Не оплачено")))</f>
        <v/>
      </c>
      <c r="N22" s="4" t="str">
        <f aca="false">IF(B22="","",IF(AND(LEN(H22)=12,I22="Да",J22="Да",M22="Оплачено"),"Да","Нет"))</f>
        <v/>
      </c>
      <c r="O22" s="5"/>
    </row>
    <row r="23" customFormat="false" ht="15" hidden="false" customHeight="false" outlineLevel="0" collapsed="false">
      <c r="A23" s="4" t="str">
        <f aca="false">IF(B23="","",ROW()-4)</f>
        <v/>
      </c>
      <c r="B23" s="5"/>
      <c r="C23" s="5"/>
      <c r="D23" s="5"/>
      <c r="E23" s="5"/>
      <c r="F23" s="6"/>
      <c r="G23" s="4" t="str">
        <f aca="false">IF(F23="","",DATEDIF(F23,Сводка!$C$5,"Y"))</f>
        <v/>
      </c>
      <c r="H23" s="7"/>
      <c r="I23" s="8"/>
      <c r="J23" s="8"/>
      <c r="K23" s="9"/>
      <c r="L23" s="10" t="str">
        <f aca="false">IF(OR(B23="",Сводка!$C$4=""),"",Сводка!$C$4-K23)</f>
        <v/>
      </c>
      <c r="M23" s="4" t="str">
        <f aca="false">IF(OR(B23="",Сводка!$C$4=""),"",IF(K23&gt;=Сводка!$C$4,"Оплачено",IF(K23&gt;0,"Частично","Не оплачено")))</f>
        <v/>
      </c>
      <c r="N23" s="4" t="str">
        <f aca="false">IF(B23="","",IF(AND(LEN(H23)=12,I23="Да",J23="Да",M23="Оплачено"),"Да","Нет"))</f>
        <v/>
      </c>
      <c r="O23" s="5"/>
    </row>
    <row r="24" customFormat="false" ht="15" hidden="false" customHeight="false" outlineLevel="0" collapsed="false">
      <c r="A24" s="4" t="str">
        <f aca="false">IF(B24="","",ROW()-4)</f>
        <v/>
      </c>
      <c r="B24" s="5"/>
      <c r="C24" s="5"/>
      <c r="D24" s="5"/>
      <c r="E24" s="5"/>
      <c r="F24" s="6"/>
      <c r="G24" s="4" t="str">
        <f aca="false">IF(F24="","",DATEDIF(F24,Сводка!$C$5,"Y"))</f>
        <v/>
      </c>
      <c r="H24" s="7"/>
      <c r="I24" s="8"/>
      <c r="J24" s="8"/>
      <c r="K24" s="9"/>
      <c r="L24" s="10" t="str">
        <f aca="false">IF(OR(B24="",Сводка!$C$4=""),"",Сводка!$C$4-K24)</f>
        <v/>
      </c>
      <c r="M24" s="4" t="str">
        <f aca="false">IF(OR(B24="",Сводка!$C$4=""),"",IF(K24&gt;=Сводка!$C$4,"Оплачено",IF(K24&gt;0,"Частично","Не оплачено")))</f>
        <v/>
      </c>
      <c r="N24" s="4" t="str">
        <f aca="false">IF(B24="","",IF(AND(LEN(H24)=12,I24="Да",J24="Да",M24="Оплачено"),"Да","Нет"))</f>
        <v/>
      </c>
      <c r="O24" s="5"/>
    </row>
    <row r="25" customFormat="false" ht="15" hidden="false" customHeight="false" outlineLevel="0" collapsed="false">
      <c r="A25" s="4" t="str">
        <f aca="false">IF(B25="","",ROW()-4)</f>
        <v/>
      </c>
      <c r="B25" s="5"/>
      <c r="C25" s="5"/>
      <c r="D25" s="5"/>
      <c r="E25" s="5"/>
      <c r="F25" s="6"/>
      <c r="G25" s="4" t="str">
        <f aca="false">IF(F25="","",DATEDIF(F25,Сводка!$C$5,"Y"))</f>
        <v/>
      </c>
      <c r="H25" s="7"/>
      <c r="I25" s="8"/>
      <c r="J25" s="8"/>
      <c r="K25" s="9"/>
      <c r="L25" s="10" t="str">
        <f aca="false">IF(OR(B25="",Сводка!$C$4=""),"",Сводка!$C$4-K25)</f>
        <v/>
      </c>
      <c r="M25" s="4" t="str">
        <f aca="false">IF(OR(B25="",Сводка!$C$4=""),"",IF(K25&gt;=Сводка!$C$4,"Оплачено",IF(K25&gt;0,"Частично","Не оплачено")))</f>
        <v/>
      </c>
      <c r="N25" s="4" t="str">
        <f aca="false">IF(B25="","",IF(AND(LEN(H25)=12,I25="Да",J25="Да",M25="Оплачено"),"Да","Нет"))</f>
        <v/>
      </c>
      <c r="O25" s="5"/>
    </row>
    <row r="26" customFormat="false" ht="15" hidden="false" customHeight="false" outlineLevel="0" collapsed="false">
      <c r="A26" s="4" t="str">
        <f aca="false">IF(B26="","",ROW()-4)</f>
        <v/>
      </c>
      <c r="B26" s="5"/>
      <c r="C26" s="5"/>
      <c r="D26" s="5"/>
      <c r="E26" s="5"/>
      <c r="F26" s="6"/>
      <c r="G26" s="4" t="str">
        <f aca="false">IF(F26="","",DATEDIF(F26,Сводка!$C$5,"Y"))</f>
        <v/>
      </c>
      <c r="H26" s="7"/>
      <c r="I26" s="8"/>
      <c r="J26" s="8"/>
      <c r="K26" s="9"/>
      <c r="L26" s="10" t="str">
        <f aca="false">IF(OR(B26="",Сводка!$C$4=""),"",Сводка!$C$4-K26)</f>
        <v/>
      </c>
      <c r="M26" s="4" t="str">
        <f aca="false">IF(OR(B26="",Сводка!$C$4=""),"",IF(K26&gt;=Сводка!$C$4,"Оплачено",IF(K26&gt;0,"Частично","Не оплачено")))</f>
        <v/>
      </c>
      <c r="N26" s="4" t="str">
        <f aca="false">IF(B26="","",IF(AND(LEN(H26)=12,I26="Да",J26="Да",M26="Оплачено"),"Да","Нет"))</f>
        <v/>
      </c>
      <c r="O26" s="5"/>
    </row>
    <row r="27" customFormat="false" ht="15" hidden="false" customHeight="false" outlineLevel="0" collapsed="false">
      <c r="A27" s="4" t="str">
        <f aca="false">IF(B27="","",ROW()-4)</f>
        <v/>
      </c>
      <c r="B27" s="5"/>
      <c r="C27" s="5"/>
      <c r="D27" s="5"/>
      <c r="E27" s="5"/>
      <c r="F27" s="6"/>
      <c r="G27" s="4" t="str">
        <f aca="false">IF(F27="","",DATEDIF(F27,Сводка!$C$5,"Y"))</f>
        <v/>
      </c>
      <c r="H27" s="7"/>
      <c r="I27" s="8"/>
      <c r="J27" s="8"/>
      <c r="K27" s="9"/>
      <c r="L27" s="10" t="str">
        <f aca="false">IF(OR(B27="",Сводка!$C$4=""),"",Сводка!$C$4-K27)</f>
        <v/>
      </c>
      <c r="M27" s="4" t="str">
        <f aca="false">IF(OR(B27="",Сводка!$C$4=""),"",IF(K27&gt;=Сводка!$C$4,"Оплачено",IF(K27&gt;0,"Частично","Не оплачено")))</f>
        <v/>
      </c>
      <c r="N27" s="4" t="str">
        <f aca="false">IF(B27="","",IF(AND(LEN(H27)=12,I27="Да",J27="Да",M27="Оплачено"),"Да","Нет"))</f>
        <v/>
      </c>
      <c r="O27" s="5"/>
    </row>
    <row r="28" customFormat="false" ht="15" hidden="false" customHeight="false" outlineLevel="0" collapsed="false">
      <c r="A28" s="4" t="str">
        <f aca="false">IF(B28="","",ROW()-4)</f>
        <v/>
      </c>
      <c r="B28" s="5"/>
      <c r="C28" s="5"/>
      <c r="D28" s="5"/>
      <c r="E28" s="5"/>
      <c r="F28" s="6"/>
      <c r="G28" s="4" t="str">
        <f aca="false">IF(F28="","",DATEDIF(F28,Сводка!$C$5,"Y"))</f>
        <v/>
      </c>
      <c r="H28" s="7"/>
      <c r="I28" s="8"/>
      <c r="J28" s="8"/>
      <c r="K28" s="9"/>
      <c r="L28" s="10" t="str">
        <f aca="false">IF(OR(B28="",Сводка!$C$4=""),"",Сводка!$C$4-K28)</f>
        <v/>
      </c>
      <c r="M28" s="4" t="str">
        <f aca="false">IF(OR(B28="",Сводка!$C$4=""),"",IF(K28&gt;=Сводка!$C$4,"Оплачено",IF(K28&gt;0,"Частично","Не оплачено")))</f>
        <v/>
      </c>
      <c r="N28" s="4" t="str">
        <f aca="false">IF(B28="","",IF(AND(LEN(H28)=12,I28="Да",J28="Да",M28="Оплачено"),"Да","Нет"))</f>
        <v/>
      </c>
      <c r="O28" s="5"/>
    </row>
    <row r="29" customFormat="false" ht="15" hidden="false" customHeight="false" outlineLevel="0" collapsed="false">
      <c r="A29" s="4" t="str">
        <f aca="false">IF(B29="","",ROW()-4)</f>
        <v/>
      </c>
      <c r="B29" s="5"/>
      <c r="C29" s="5"/>
      <c r="D29" s="5"/>
      <c r="E29" s="5"/>
      <c r="F29" s="6"/>
      <c r="G29" s="4" t="str">
        <f aca="false">IF(F29="","",DATEDIF(F29,Сводка!$C$5,"Y"))</f>
        <v/>
      </c>
      <c r="H29" s="7"/>
      <c r="I29" s="8"/>
      <c r="J29" s="8"/>
      <c r="K29" s="9"/>
      <c r="L29" s="10" t="str">
        <f aca="false">IF(OR(B29="",Сводка!$C$4=""),"",Сводка!$C$4-K29)</f>
        <v/>
      </c>
      <c r="M29" s="4" t="str">
        <f aca="false">IF(OR(B29="",Сводка!$C$4=""),"",IF(K29&gt;=Сводка!$C$4,"Оплачено",IF(K29&gt;0,"Частично","Не оплачено")))</f>
        <v/>
      </c>
      <c r="N29" s="4" t="str">
        <f aca="false">IF(B29="","",IF(AND(LEN(H29)=12,I29="Да",J29="Да",M29="Оплачено"),"Да","Нет"))</f>
        <v/>
      </c>
      <c r="O29" s="5"/>
    </row>
    <row r="30" customFormat="false" ht="15" hidden="false" customHeight="false" outlineLevel="0" collapsed="false">
      <c r="A30" s="4" t="str">
        <f aca="false">IF(B30="","",ROW()-4)</f>
        <v/>
      </c>
      <c r="B30" s="5"/>
      <c r="C30" s="5"/>
      <c r="D30" s="5"/>
      <c r="E30" s="5"/>
      <c r="F30" s="6"/>
      <c r="G30" s="4" t="str">
        <f aca="false">IF(F30="","",DATEDIF(F30,Сводка!$C$5,"Y"))</f>
        <v/>
      </c>
      <c r="H30" s="7"/>
      <c r="I30" s="8"/>
      <c r="J30" s="8"/>
      <c r="K30" s="9"/>
      <c r="L30" s="10" t="str">
        <f aca="false">IF(OR(B30="",Сводка!$C$4=""),"",Сводка!$C$4-K30)</f>
        <v/>
      </c>
      <c r="M30" s="4" t="str">
        <f aca="false">IF(OR(B30="",Сводка!$C$4=""),"",IF(K30&gt;=Сводка!$C$4,"Оплачено",IF(K30&gt;0,"Частично","Не оплачено")))</f>
        <v/>
      </c>
      <c r="N30" s="4" t="str">
        <f aca="false">IF(B30="","",IF(AND(LEN(H30)=12,I30="Да",J30="Да",M30="Оплачено"),"Да","Нет"))</f>
        <v/>
      </c>
      <c r="O30" s="5"/>
    </row>
    <row r="31" customFormat="false" ht="15" hidden="false" customHeight="false" outlineLevel="0" collapsed="false">
      <c r="A31" s="4" t="str">
        <f aca="false">IF(B31="","",ROW()-4)</f>
        <v/>
      </c>
      <c r="B31" s="5"/>
      <c r="C31" s="5"/>
      <c r="D31" s="5"/>
      <c r="E31" s="5"/>
      <c r="F31" s="6"/>
      <c r="G31" s="4" t="str">
        <f aca="false">IF(F31="","",DATEDIF(F31,Сводка!$C$5,"Y"))</f>
        <v/>
      </c>
      <c r="H31" s="7"/>
      <c r="I31" s="8"/>
      <c r="J31" s="8"/>
      <c r="K31" s="9"/>
      <c r="L31" s="10" t="str">
        <f aca="false">IF(OR(B31="",Сводка!$C$4=""),"",Сводка!$C$4-K31)</f>
        <v/>
      </c>
      <c r="M31" s="4" t="str">
        <f aca="false">IF(OR(B31="",Сводка!$C$4=""),"",IF(K31&gt;=Сводка!$C$4,"Оплачено",IF(K31&gt;0,"Частично","Не оплачено")))</f>
        <v/>
      </c>
      <c r="N31" s="4" t="str">
        <f aca="false">IF(B31="","",IF(AND(LEN(H31)=12,I31="Да",J31="Да",M31="Оплачено"),"Да","Нет"))</f>
        <v/>
      </c>
      <c r="O31" s="5"/>
    </row>
    <row r="32" customFormat="false" ht="15" hidden="false" customHeight="false" outlineLevel="0" collapsed="false">
      <c r="A32" s="4" t="str">
        <f aca="false">IF(B32="","",ROW()-4)</f>
        <v/>
      </c>
      <c r="B32" s="5"/>
      <c r="C32" s="5"/>
      <c r="D32" s="5"/>
      <c r="E32" s="5"/>
      <c r="F32" s="6"/>
      <c r="G32" s="4" t="str">
        <f aca="false">IF(F32="","",DATEDIF(F32,Сводка!$C$5,"Y"))</f>
        <v/>
      </c>
      <c r="H32" s="7"/>
      <c r="I32" s="8"/>
      <c r="J32" s="8"/>
      <c r="K32" s="9"/>
      <c r="L32" s="10" t="str">
        <f aca="false">IF(OR(B32="",Сводка!$C$4=""),"",Сводка!$C$4-K32)</f>
        <v/>
      </c>
      <c r="M32" s="4" t="str">
        <f aca="false">IF(OR(B32="",Сводка!$C$4=""),"",IF(K32&gt;=Сводка!$C$4,"Оплачено",IF(K32&gt;0,"Частично","Не оплачено")))</f>
        <v/>
      </c>
      <c r="N32" s="4" t="str">
        <f aca="false">IF(B32="","",IF(AND(LEN(H32)=12,I32="Да",J32="Да",M32="Оплачено"),"Да","Нет"))</f>
        <v/>
      </c>
      <c r="O32" s="5"/>
    </row>
    <row r="33" customFormat="false" ht="15" hidden="false" customHeight="false" outlineLevel="0" collapsed="false">
      <c r="A33" s="4" t="str">
        <f aca="false">IF(B33="","",ROW()-4)</f>
        <v/>
      </c>
      <c r="B33" s="5"/>
      <c r="C33" s="5"/>
      <c r="D33" s="5"/>
      <c r="E33" s="5"/>
      <c r="F33" s="6"/>
      <c r="G33" s="4" t="str">
        <f aca="false">IF(F33="","",DATEDIF(F33,Сводка!$C$5,"Y"))</f>
        <v/>
      </c>
      <c r="H33" s="7"/>
      <c r="I33" s="8"/>
      <c r="J33" s="8"/>
      <c r="K33" s="9"/>
      <c r="L33" s="10" t="str">
        <f aca="false">IF(OR(B33="",Сводка!$C$4=""),"",Сводка!$C$4-K33)</f>
        <v/>
      </c>
      <c r="M33" s="4" t="str">
        <f aca="false">IF(OR(B33="",Сводка!$C$4=""),"",IF(K33&gt;=Сводка!$C$4,"Оплачено",IF(K33&gt;0,"Частично","Не оплачено")))</f>
        <v/>
      </c>
      <c r="N33" s="4" t="str">
        <f aca="false">IF(B33="","",IF(AND(LEN(H33)=12,I33="Да",J33="Да",M33="Оплачено"),"Да","Нет"))</f>
        <v/>
      </c>
      <c r="O33" s="5"/>
    </row>
    <row r="34" customFormat="false" ht="15" hidden="false" customHeight="false" outlineLevel="0" collapsed="false">
      <c r="A34" s="4" t="str">
        <f aca="false">IF(B34="","",ROW()-4)</f>
        <v/>
      </c>
      <c r="B34" s="5"/>
      <c r="C34" s="5"/>
      <c r="D34" s="5"/>
      <c r="E34" s="5"/>
      <c r="F34" s="6"/>
      <c r="G34" s="4" t="str">
        <f aca="false">IF(F34="","",DATEDIF(F34,Сводка!$C$5,"Y"))</f>
        <v/>
      </c>
      <c r="H34" s="7"/>
      <c r="I34" s="8"/>
      <c r="J34" s="8"/>
      <c r="K34" s="9"/>
      <c r="L34" s="10" t="str">
        <f aca="false">IF(OR(B34="",Сводка!$C$4=""),"",Сводка!$C$4-K34)</f>
        <v/>
      </c>
      <c r="M34" s="4" t="str">
        <f aca="false">IF(OR(B34="",Сводка!$C$4=""),"",IF(K34&gt;=Сводка!$C$4,"Оплачено",IF(K34&gt;0,"Частично","Не оплачено")))</f>
        <v/>
      </c>
      <c r="N34" s="4" t="str">
        <f aca="false">IF(B34="","",IF(AND(LEN(H34)=12,I34="Да",J34="Да",M34="Оплачено"),"Да","Нет"))</f>
        <v/>
      </c>
      <c r="O34" s="5"/>
    </row>
    <row r="35" customFormat="false" ht="15" hidden="false" customHeight="false" outlineLevel="0" collapsed="false">
      <c r="A35" s="4" t="str">
        <f aca="false">IF(B35="","",ROW()-4)</f>
        <v/>
      </c>
      <c r="B35" s="5"/>
      <c r="C35" s="5"/>
      <c r="D35" s="5"/>
      <c r="E35" s="5"/>
      <c r="F35" s="6"/>
      <c r="G35" s="4" t="str">
        <f aca="false">IF(F35="","",DATEDIF(F35,Сводка!$C$5,"Y"))</f>
        <v/>
      </c>
      <c r="H35" s="7"/>
      <c r="I35" s="8"/>
      <c r="J35" s="8"/>
      <c r="K35" s="9"/>
      <c r="L35" s="10" t="str">
        <f aca="false">IF(OR(B35="",Сводка!$C$4=""),"",Сводка!$C$4-K35)</f>
        <v/>
      </c>
      <c r="M35" s="4" t="str">
        <f aca="false">IF(OR(B35="",Сводка!$C$4=""),"",IF(K35&gt;=Сводка!$C$4,"Оплачено",IF(K35&gt;0,"Частично","Не оплачено")))</f>
        <v/>
      </c>
      <c r="N35" s="4" t="str">
        <f aca="false">IF(B35="","",IF(AND(LEN(H35)=12,I35="Да",J35="Да",M35="Оплачено"),"Да","Нет"))</f>
        <v/>
      </c>
      <c r="O35" s="5"/>
    </row>
    <row r="36" customFormat="false" ht="15" hidden="false" customHeight="false" outlineLevel="0" collapsed="false">
      <c r="A36" s="4" t="str">
        <f aca="false">IF(B36="","",ROW()-4)</f>
        <v/>
      </c>
      <c r="B36" s="5"/>
      <c r="C36" s="5"/>
      <c r="D36" s="5"/>
      <c r="E36" s="5"/>
      <c r="F36" s="6"/>
      <c r="G36" s="4" t="str">
        <f aca="false">IF(F36="","",DATEDIF(F36,Сводка!$C$5,"Y"))</f>
        <v/>
      </c>
      <c r="H36" s="7"/>
      <c r="I36" s="8"/>
      <c r="J36" s="8"/>
      <c r="K36" s="9"/>
      <c r="L36" s="10" t="str">
        <f aca="false">IF(OR(B36="",Сводка!$C$4=""),"",Сводка!$C$4-K36)</f>
        <v/>
      </c>
      <c r="M36" s="4" t="str">
        <f aca="false">IF(OR(B36="",Сводка!$C$4=""),"",IF(K36&gt;=Сводка!$C$4,"Оплачено",IF(K36&gt;0,"Частично","Не оплачено")))</f>
        <v/>
      </c>
      <c r="N36" s="4" t="str">
        <f aca="false">IF(B36="","",IF(AND(LEN(H36)=12,I36="Да",J36="Да",M36="Оплачено"),"Да","Нет"))</f>
        <v/>
      </c>
      <c r="O36" s="5"/>
    </row>
    <row r="37" customFormat="false" ht="15" hidden="false" customHeight="false" outlineLevel="0" collapsed="false">
      <c r="A37" s="4" t="str">
        <f aca="false">IF(B37="","",ROW()-4)</f>
        <v/>
      </c>
      <c r="B37" s="5"/>
      <c r="C37" s="5"/>
      <c r="D37" s="5"/>
      <c r="E37" s="5"/>
      <c r="F37" s="6"/>
      <c r="G37" s="4" t="str">
        <f aca="false">IF(F37="","",DATEDIF(F37,Сводка!$C$5,"Y"))</f>
        <v/>
      </c>
      <c r="H37" s="7"/>
      <c r="I37" s="8"/>
      <c r="J37" s="8"/>
      <c r="K37" s="9"/>
      <c r="L37" s="10" t="str">
        <f aca="false">IF(OR(B37="",Сводка!$C$4=""),"",Сводка!$C$4-K37)</f>
        <v/>
      </c>
      <c r="M37" s="4" t="str">
        <f aca="false">IF(OR(B37="",Сводка!$C$4=""),"",IF(K37&gt;=Сводка!$C$4,"Оплачено",IF(K37&gt;0,"Частично","Не оплачено")))</f>
        <v/>
      </c>
      <c r="N37" s="4" t="str">
        <f aca="false">IF(B37="","",IF(AND(LEN(H37)=12,I37="Да",J37="Да",M37="Оплачено"),"Да","Нет"))</f>
        <v/>
      </c>
      <c r="O37" s="5"/>
    </row>
    <row r="38" customFormat="false" ht="15" hidden="false" customHeight="false" outlineLevel="0" collapsed="false">
      <c r="A38" s="4" t="str">
        <f aca="false">IF(B38="","",ROW()-4)</f>
        <v/>
      </c>
      <c r="B38" s="5"/>
      <c r="C38" s="5"/>
      <c r="D38" s="5"/>
      <c r="E38" s="5"/>
      <c r="F38" s="6"/>
      <c r="G38" s="4" t="str">
        <f aca="false">IF(F38="","",DATEDIF(F38,Сводка!$C$5,"Y"))</f>
        <v/>
      </c>
      <c r="H38" s="7"/>
      <c r="I38" s="8"/>
      <c r="J38" s="8"/>
      <c r="K38" s="9"/>
      <c r="L38" s="10" t="str">
        <f aca="false">IF(OR(B38="",Сводка!$C$4=""),"",Сводка!$C$4-K38)</f>
        <v/>
      </c>
      <c r="M38" s="4" t="str">
        <f aca="false">IF(OR(B38="",Сводка!$C$4=""),"",IF(K38&gt;=Сводка!$C$4,"Оплачено",IF(K38&gt;0,"Частично","Не оплачено")))</f>
        <v/>
      </c>
      <c r="N38" s="4" t="str">
        <f aca="false">IF(B38="","",IF(AND(LEN(H38)=12,I38="Да",J38="Да",M38="Оплачено"),"Да","Нет"))</f>
        <v/>
      </c>
      <c r="O38" s="5"/>
    </row>
    <row r="39" customFormat="false" ht="15" hidden="false" customHeight="false" outlineLevel="0" collapsed="false">
      <c r="A39" s="4" t="str">
        <f aca="false">IF(B39="","",ROW()-4)</f>
        <v/>
      </c>
      <c r="B39" s="5"/>
      <c r="C39" s="5"/>
      <c r="D39" s="5"/>
      <c r="E39" s="5"/>
      <c r="F39" s="6"/>
      <c r="G39" s="4" t="str">
        <f aca="false">IF(F39="","",DATEDIF(F39,Сводка!$C$5,"Y"))</f>
        <v/>
      </c>
      <c r="H39" s="7"/>
      <c r="I39" s="8"/>
      <c r="J39" s="8"/>
      <c r="K39" s="9"/>
      <c r="L39" s="10" t="str">
        <f aca="false">IF(OR(B39="",Сводка!$C$4=""),"",Сводка!$C$4-K39)</f>
        <v/>
      </c>
      <c r="M39" s="4" t="str">
        <f aca="false">IF(OR(B39="",Сводка!$C$4=""),"",IF(K39&gt;=Сводка!$C$4,"Оплачено",IF(K39&gt;0,"Частично","Не оплачено")))</f>
        <v/>
      </c>
      <c r="N39" s="4" t="str">
        <f aca="false">IF(B39="","",IF(AND(LEN(H39)=12,I39="Да",J39="Да",M39="Оплачено"),"Да","Нет"))</f>
        <v/>
      </c>
      <c r="O39" s="5"/>
    </row>
    <row r="40" customFormat="false" ht="15" hidden="false" customHeight="false" outlineLevel="0" collapsed="false">
      <c r="A40" s="4" t="str">
        <f aca="false">IF(B40="","",ROW()-4)</f>
        <v/>
      </c>
      <c r="B40" s="5"/>
      <c r="C40" s="5"/>
      <c r="D40" s="5"/>
      <c r="E40" s="5"/>
      <c r="F40" s="6"/>
      <c r="G40" s="4" t="str">
        <f aca="false">IF(F40="","",DATEDIF(F40,Сводка!$C$5,"Y"))</f>
        <v/>
      </c>
      <c r="H40" s="7"/>
      <c r="I40" s="8"/>
      <c r="J40" s="8"/>
      <c r="K40" s="9"/>
      <c r="L40" s="10" t="str">
        <f aca="false">IF(OR(B40="",Сводка!$C$4=""),"",Сводка!$C$4-K40)</f>
        <v/>
      </c>
      <c r="M40" s="4" t="str">
        <f aca="false">IF(OR(B40="",Сводка!$C$4=""),"",IF(K40&gt;=Сводка!$C$4,"Оплачено",IF(K40&gt;0,"Частично","Не оплачено")))</f>
        <v/>
      </c>
      <c r="N40" s="4" t="str">
        <f aca="false">IF(B40="","",IF(AND(LEN(H40)=12,I40="Да",J40="Да",M40="Оплачено"),"Да","Нет"))</f>
        <v/>
      </c>
      <c r="O40" s="5"/>
    </row>
    <row r="41" customFormat="false" ht="15" hidden="false" customHeight="false" outlineLevel="0" collapsed="false">
      <c r="A41" s="4" t="str">
        <f aca="false">IF(B41="","",ROW()-4)</f>
        <v/>
      </c>
      <c r="B41" s="5"/>
      <c r="C41" s="5"/>
      <c r="D41" s="5"/>
      <c r="E41" s="5"/>
      <c r="F41" s="6"/>
      <c r="G41" s="4" t="str">
        <f aca="false">IF(F41="","",DATEDIF(F41,Сводка!$C$5,"Y"))</f>
        <v/>
      </c>
      <c r="H41" s="7"/>
      <c r="I41" s="8"/>
      <c r="J41" s="8"/>
      <c r="K41" s="9"/>
      <c r="L41" s="10" t="str">
        <f aca="false">IF(OR(B41="",Сводка!$C$4=""),"",Сводка!$C$4-K41)</f>
        <v/>
      </c>
      <c r="M41" s="4" t="str">
        <f aca="false">IF(OR(B41="",Сводка!$C$4=""),"",IF(K41&gt;=Сводка!$C$4,"Оплачено",IF(K41&gt;0,"Частично","Не оплачено")))</f>
        <v/>
      </c>
      <c r="N41" s="4" t="str">
        <f aca="false">IF(B41="","",IF(AND(LEN(H41)=12,I41="Да",J41="Да",M41="Оплачено"),"Да","Нет"))</f>
        <v/>
      </c>
      <c r="O41" s="5"/>
    </row>
    <row r="42" customFormat="false" ht="15" hidden="false" customHeight="false" outlineLevel="0" collapsed="false">
      <c r="A42" s="4" t="str">
        <f aca="false">IF(B42="","",ROW()-4)</f>
        <v/>
      </c>
      <c r="B42" s="5"/>
      <c r="C42" s="5"/>
      <c r="D42" s="5"/>
      <c r="E42" s="5"/>
      <c r="F42" s="6"/>
      <c r="G42" s="4" t="str">
        <f aca="false">IF(F42="","",DATEDIF(F42,Сводка!$C$5,"Y"))</f>
        <v/>
      </c>
      <c r="H42" s="7"/>
      <c r="I42" s="8"/>
      <c r="J42" s="8"/>
      <c r="K42" s="9"/>
      <c r="L42" s="10" t="str">
        <f aca="false">IF(OR(B42="",Сводка!$C$4=""),"",Сводка!$C$4-K42)</f>
        <v/>
      </c>
      <c r="M42" s="4" t="str">
        <f aca="false">IF(OR(B42="",Сводка!$C$4=""),"",IF(K42&gt;=Сводка!$C$4,"Оплачено",IF(K42&gt;0,"Частично","Не оплачено")))</f>
        <v/>
      </c>
      <c r="N42" s="4" t="str">
        <f aca="false">IF(B42="","",IF(AND(LEN(H42)=12,I42="Да",J42="Да",M42="Оплачено"),"Да","Нет"))</f>
        <v/>
      </c>
      <c r="O42" s="5"/>
    </row>
    <row r="43" customFormat="false" ht="15" hidden="false" customHeight="false" outlineLevel="0" collapsed="false">
      <c r="A43" s="4" t="str">
        <f aca="false">IF(B43="","",ROW()-4)</f>
        <v/>
      </c>
      <c r="B43" s="5"/>
      <c r="C43" s="5"/>
      <c r="D43" s="5"/>
      <c r="E43" s="5"/>
      <c r="F43" s="6"/>
      <c r="G43" s="4" t="str">
        <f aca="false">IF(F43="","",DATEDIF(F43,Сводка!$C$5,"Y"))</f>
        <v/>
      </c>
      <c r="H43" s="7"/>
      <c r="I43" s="8"/>
      <c r="J43" s="8"/>
      <c r="K43" s="9"/>
      <c r="L43" s="10" t="str">
        <f aca="false">IF(OR(B43="",Сводка!$C$4=""),"",Сводка!$C$4-K43)</f>
        <v/>
      </c>
      <c r="M43" s="4" t="str">
        <f aca="false">IF(OR(B43="",Сводка!$C$4=""),"",IF(K43&gt;=Сводка!$C$4,"Оплачено",IF(K43&gt;0,"Частично","Не оплачено")))</f>
        <v/>
      </c>
      <c r="N43" s="4" t="str">
        <f aca="false">IF(B43="","",IF(AND(LEN(H43)=12,I43="Да",J43="Да",M43="Оплачено"),"Да","Нет"))</f>
        <v/>
      </c>
      <c r="O43" s="5"/>
    </row>
    <row r="44" customFormat="false" ht="15" hidden="false" customHeight="false" outlineLevel="0" collapsed="false">
      <c r="A44" s="4" t="str">
        <f aca="false">IF(B44="","",ROW()-4)</f>
        <v/>
      </c>
      <c r="B44" s="5"/>
      <c r="C44" s="5"/>
      <c r="D44" s="5"/>
      <c r="E44" s="5"/>
      <c r="F44" s="6"/>
      <c r="G44" s="4" t="str">
        <f aca="false">IF(F44="","",DATEDIF(F44,Сводка!$C$5,"Y"))</f>
        <v/>
      </c>
      <c r="H44" s="7"/>
      <c r="I44" s="8"/>
      <c r="J44" s="8"/>
      <c r="K44" s="9"/>
      <c r="L44" s="10" t="str">
        <f aca="false">IF(OR(B44="",Сводка!$C$4=""),"",Сводка!$C$4-K44)</f>
        <v/>
      </c>
      <c r="M44" s="4" t="str">
        <f aca="false">IF(OR(B44="",Сводка!$C$4=""),"",IF(K44&gt;=Сводка!$C$4,"Оплачено",IF(K44&gt;0,"Частично","Не оплачено")))</f>
        <v/>
      </c>
      <c r="N44" s="4" t="str">
        <f aca="false">IF(B44="","",IF(AND(LEN(H44)=12,I44="Да",J44="Да",M44="Оплачено"),"Да","Нет"))</f>
        <v/>
      </c>
      <c r="O44" s="5"/>
    </row>
    <row r="45" customFormat="false" ht="15" hidden="false" customHeight="false" outlineLevel="0" collapsed="false">
      <c r="A45" s="4" t="str">
        <f aca="false">IF(B45="","",ROW()-4)</f>
        <v/>
      </c>
      <c r="B45" s="5"/>
      <c r="C45" s="5"/>
      <c r="D45" s="5"/>
      <c r="E45" s="5"/>
      <c r="F45" s="6"/>
      <c r="G45" s="4" t="str">
        <f aca="false">IF(F45="","",DATEDIF(F45,Сводка!$C$5,"Y"))</f>
        <v/>
      </c>
      <c r="H45" s="7"/>
      <c r="I45" s="8"/>
      <c r="J45" s="8"/>
      <c r="K45" s="9"/>
      <c r="L45" s="10" t="str">
        <f aca="false">IF(OR(B45="",Сводка!$C$4=""),"",Сводка!$C$4-K45)</f>
        <v/>
      </c>
      <c r="M45" s="4" t="str">
        <f aca="false">IF(OR(B45="",Сводка!$C$4=""),"",IF(K45&gt;=Сводка!$C$4,"Оплачено",IF(K45&gt;0,"Частично","Не оплачено")))</f>
        <v/>
      </c>
      <c r="N45" s="4" t="str">
        <f aca="false">IF(B45="","",IF(AND(LEN(H45)=12,I45="Да",J45="Да",M45="Оплачено"),"Да","Нет"))</f>
        <v/>
      </c>
      <c r="O45" s="5"/>
    </row>
    <row r="46" customFormat="false" ht="15" hidden="false" customHeight="false" outlineLevel="0" collapsed="false">
      <c r="A46" s="4" t="str">
        <f aca="false">IF(B46="","",ROW()-4)</f>
        <v/>
      </c>
      <c r="B46" s="5"/>
      <c r="C46" s="5"/>
      <c r="D46" s="5"/>
      <c r="E46" s="5"/>
      <c r="F46" s="6"/>
      <c r="G46" s="4" t="str">
        <f aca="false">IF(F46="","",DATEDIF(F46,Сводка!$C$5,"Y"))</f>
        <v/>
      </c>
      <c r="H46" s="7"/>
      <c r="I46" s="8"/>
      <c r="J46" s="8"/>
      <c r="K46" s="9"/>
      <c r="L46" s="10" t="str">
        <f aca="false">IF(OR(B46="",Сводка!$C$4=""),"",Сводка!$C$4-K46)</f>
        <v/>
      </c>
      <c r="M46" s="4" t="str">
        <f aca="false">IF(OR(B46="",Сводка!$C$4=""),"",IF(K46&gt;=Сводка!$C$4,"Оплачено",IF(K46&gt;0,"Частично","Не оплачено")))</f>
        <v/>
      </c>
      <c r="N46" s="4" t="str">
        <f aca="false">IF(B46="","",IF(AND(LEN(H46)=12,I46="Да",J46="Да",M46="Оплачено"),"Да","Нет"))</f>
        <v/>
      </c>
      <c r="O46" s="5"/>
    </row>
    <row r="47" customFormat="false" ht="15" hidden="false" customHeight="false" outlineLevel="0" collapsed="false">
      <c r="A47" s="4" t="str">
        <f aca="false">IF(B47="","",ROW()-4)</f>
        <v/>
      </c>
      <c r="B47" s="5"/>
      <c r="C47" s="5"/>
      <c r="D47" s="5"/>
      <c r="E47" s="5"/>
      <c r="F47" s="6"/>
      <c r="G47" s="4" t="str">
        <f aca="false">IF(F47="","",DATEDIF(F47,Сводка!$C$5,"Y"))</f>
        <v/>
      </c>
      <c r="H47" s="7"/>
      <c r="I47" s="8"/>
      <c r="J47" s="8"/>
      <c r="K47" s="9"/>
      <c r="L47" s="10" t="str">
        <f aca="false">IF(OR(B47="",Сводка!$C$4=""),"",Сводка!$C$4-K47)</f>
        <v/>
      </c>
      <c r="M47" s="4" t="str">
        <f aca="false">IF(OR(B47="",Сводка!$C$4=""),"",IF(K47&gt;=Сводка!$C$4,"Оплачено",IF(K47&gt;0,"Частично","Не оплачено")))</f>
        <v/>
      </c>
      <c r="N47" s="4" t="str">
        <f aca="false">IF(B47="","",IF(AND(LEN(H47)=12,I47="Да",J47="Да",M47="Оплачено"),"Да","Нет"))</f>
        <v/>
      </c>
      <c r="O47" s="5"/>
    </row>
    <row r="48" customFormat="false" ht="15" hidden="false" customHeight="false" outlineLevel="0" collapsed="false">
      <c r="A48" s="4" t="str">
        <f aca="false">IF(B48="","",ROW()-4)</f>
        <v/>
      </c>
      <c r="B48" s="5"/>
      <c r="C48" s="5"/>
      <c r="D48" s="5"/>
      <c r="E48" s="5"/>
      <c r="F48" s="6"/>
      <c r="G48" s="4" t="str">
        <f aca="false">IF(F48="","",DATEDIF(F48,Сводка!$C$5,"Y"))</f>
        <v/>
      </c>
      <c r="H48" s="7"/>
      <c r="I48" s="8"/>
      <c r="J48" s="8"/>
      <c r="K48" s="9"/>
      <c r="L48" s="10" t="str">
        <f aca="false">IF(OR(B48="",Сводка!$C$4=""),"",Сводка!$C$4-K48)</f>
        <v/>
      </c>
      <c r="M48" s="4" t="str">
        <f aca="false">IF(OR(B48="",Сводка!$C$4=""),"",IF(K48&gt;=Сводка!$C$4,"Оплачено",IF(K48&gt;0,"Частично","Не оплачено")))</f>
        <v/>
      </c>
      <c r="N48" s="4" t="str">
        <f aca="false">IF(B48="","",IF(AND(LEN(H48)=12,I48="Да",J48="Да",M48="Оплачено"),"Да","Нет"))</f>
        <v/>
      </c>
      <c r="O48" s="5"/>
    </row>
    <row r="49" customFormat="false" ht="15" hidden="false" customHeight="false" outlineLevel="0" collapsed="false">
      <c r="A49" s="4" t="str">
        <f aca="false">IF(B49="","",ROW()-4)</f>
        <v/>
      </c>
      <c r="B49" s="5"/>
      <c r="C49" s="5"/>
      <c r="D49" s="5"/>
      <c r="E49" s="5"/>
      <c r="F49" s="6"/>
      <c r="G49" s="4" t="str">
        <f aca="false">IF(F49="","",DATEDIF(F49,Сводка!$C$5,"Y"))</f>
        <v/>
      </c>
      <c r="H49" s="7"/>
      <c r="I49" s="8"/>
      <c r="J49" s="8"/>
      <c r="K49" s="9"/>
      <c r="L49" s="10" t="str">
        <f aca="false">IF(OR(B49="",Сводка!$C$4=""),"",Сводка!$C$4-K49)</f>
        <v/>
      </c>
      <c r="M49" s="4" t="str">
        <f aca="false">IF(OR(B49="",Сводка!$C$4=""),"",IF(K49&gt;=Сводка!$C$4,"Оплачено",IF(K49&gt;0,"Частично","Не оплачено")))</f>
        <v/>
      </c>
      <c r="N49" s="4" t="str">
        <f aca="false">IF(B49="","",IF(AND(LEN(H49)=12,I49="Да",J49="Да",M49="Оплачено"),"Да","Нет"))</f>
        <v/>
      </c>
      <c r="O49" s="5"/>
    </row>
    <row r="50" customFormat="false" ht="15" hidden="false" customHeight="false" outlineLevel="0" collapsed="false">
      <c r="A50" s="4" t="str">
        <f aca="false">IF(B50="","",ROW()-4)</f>
        <v/>
      </c>
      <c r="B50" s="5"/>
      <c r="C50" s="5"/>
      <c r="D50" s="5"/>
      <c r="E50" s="5"/>
      <c r="F50" s="6"/>
      <c r="G50" s="4" t="str">
        <f aca="false">IF(F50="","",DATEDIF(F50,Сводка!$C$5,"Y"))</f>
        <v/>
      </c>
      <c r="H50" s="7"/>
      <c r="I50" s="8"/>
      <c r="J50" s="8"/>
      <c r="K50" s="9"/>
      <c r="L50" s="10" t="str">
        <f aca="false">IF(OR(B50="",Сводка!$C$4=""),"",Сводка!$C$4-K50)</f>
        <v/>
      </c>
      <c r="M50" s="4" t="str">
        <f aca="false">IF(OR(B50="",Сводка!$C$4=""),"",IF(K50&gt;=Сводка!$C$4,"Оплачено",IF(K50&gt;0,"Частично","Не оплачено")))</f>
        <v/>
      </c>
      <c r="N50" s="4" t="str">
        <f aca="false">IF(B50="","",IF(AND(LEN(H50)=12,I50="Да",J50="Да",M50="Оплачено"),"Да","Нет"))</f>
        <v/>
      </c>
      <c r="O50" s="5"/>
    </row>
    <row r="51" customFormat="false" ht="15" hidden="false" customHeight="false" outlineLevel="0" collapsed="false">
      <c r="A51" s="4" t="str">
        <f aca="false">IF(B51="","",ROW()-4)</f>
        <v/>
      </c>
      <c r="B51" s="5"/>
      <c r="C51" s="5"/>
      <c r="D51" s="5"/>
      <c r="E51" s="5"/>
      <c r="F51" s="6"/>
      <c r="G51" s="4" t="str">
        <f aca="false">IF(F51="","",DATEDIF(F51,Сводка!$C$5,"Y"))</f>
        <v/>
      </c>
      <c r="H51" s="7"/>
      <c r="I51" s="8"/>
      <c r="J51" s="8"/>
      <c r="K51" s="9"/>
      <c r="L51" s="10" t="str">
        <f aca="false">IF(OR(B51="",Сводка!$C$4=""),"",Сводка!$C$4-K51)</f>
        <v/>
      </c>
      <c r="M51" s="4" t="str">
        <f aca="false">IF(OR(B51="",Сводка!$C$4=""),"",IF(K51&gt;=Сводка!$C$4,"Оплачено",IF(K51&gt;0,"Частично","Не оплачено")))</f>
        <v/>
      </c>
      <c r="N51" s="4" t="str">
        <f aca="false">IF(B51="","",IF(AND(LEN(H51)=12,I51="Да",J51="Да",M51="Оплачено"),"Да","Нет"))</f>
        <v/>
      </c>
      <c r="O51" s="5"/>
    </row>
    <row r="52" customFormat="false" ht="15" hidden="false" customHeight="false" outlineLevel="0" collapsed="false">
      <c r="A52" s="4" t="str">
        <f aca="false">IF(B52="","",ROW()-4)</f>
        <v/>
      </c>
      <c r="B52" s="5"/>
      <c r="C52" s="5"/>
      <c r="D52" s="5"/>
      <c r="E52" s="5"/>
      <c r="F52" s="6"/>
      <c r="G52" s="4" t="str">
        <f aca="false">IF(F52="","",DATEDIF(F52,Сводка!$C$5,"Y"))</f>
        <v/>
      </c>
      <c r="H52" s="7"/>
      <c r="I52" s="8"/>
      <c r="J52" s="8"/>
      <c r="K52" s="9"/>
      <c r="L52" s="10" t="str">
        <f aca="false">IF(OR(B52="",Сводка!$C$4=""),"",Сводка!$C$4-K52)</f>
        <v/>
      </c>
      <c r="M52" s="4" t="str">
        <f aca="false">IF(OR(B52="",Сводка!$C$4=""),"",IF(K52&gt;=Сводка!$C$4,"Оплачено",IF(K52&gt;0,"Частично","Не оплачено")))</f>
        <v/>
      </c>
      <c r="N52" s="4" t="str">
        <f aca="false">IF(B52="","",IF(AND(LEN(H52)=12,I52="Да",J52="Да",M52="Оплачено"),"Да","Нет"))</f>
        <v/>
      </c>
      <c r="O52" s="5"/>
    </row>
    <row r="53" customFormat="false" ht="15" hidden="false" customHeight="false" outlineLevel="0" collapsed="false">
      <c r="A53" s="4" t="str">
        <f aca="false">IF(B53="","",ROW()-4)</f>
        <v/>
      </c>
      <c r="B53" s="5"/>
      <c r="C53" s="5"/>
      <c r="D53" s="5"/>
      <c r="E53" s="5"/>
      <c r="F53" s="6"/>
      <c r="G53" s="4" t="str">
        <f aca="false">IF(F53="","",DATEDIF(F53,Сводка!$C$5,"Y"))</f>
        <v/>
      </c>
      <c r="H53" s="7"/>
      <c r="I53" s="8"/>
      <c r="J53" s="8"/>
      <c r="K53" s="9"/>
      <c r="L53" s="10" t="str">
        <f aca="false">IF(OR(B53="",Сводка!$C$4=""),"",Сводка!$C$4-K53)</f>
        <v/>
      </c>
      <c r="M53" s="4" t="str">
        <f aca="false">IF(OR(B53="",Сводка!$C$4=""),"",IF(K53&gt;=Сводка!$C$4,"Оплачено",IF(K53&gt;0,"Частично","Не оплачено")))</f>
        <v/>
      </c>
      <c r="N53" s="4" t="str">
        <f aca="false">IF(B53="","",IF(AND(LEN(H53)=12,I53="Да",J53="Да",M53="Оплачено"),"Да","Нет"))</f>
        <v/>
      </c>
      <c r="O53" s="5"/>
    </row>
    <row r="54" customFormat="false" ht="15" hidden="false" customHeight="false" outlineLevel="0" collapsed="false">
      <c r="A54" s="4" t="str">
        <f aca="false">IF(B54="","",ROW()-4)</f>
        <v/>
      </c>
      <c r="B54" s="5"/>
      <c r="C54" s="5"/>
      <c r="D54" s="5"/>
      <c r="E54" s="5"/>
      <c r="F54" s="6"/>
      <c r="G54" s="4" t="str">
        <f aca="false">IF(F54="","",DATEDIF(F54,Сводка!$C$5,"Y"))</f>
        <v/>
      </c>
      <c r="H54" s="7"/>
      <c r="I54" s="8"/>
      <c r="J54" s="8"/>
      <c r="K54" s="9"/>
      <c r="L54" s="10" t="str">
        <f aca="false">IF(OR(B54="",Сводка!$C$4=""),"",Сводка!$C$4-K54)</f>
        <v/>
      </c>
      <c r="M54" s="4" t="str">
        <f aca="false">IF(OR(B54="",Сводка!$C$4=""),"",IF(K54&gt;=Сводка!$C$4,"Оплачено",IF(K54&gt;0,"Частично","Не оплачено")))</f>
        <v/>
      </c>
      <c r="N54" s="4" t="str">
        <f aca="false">IF(B54="","",IF(AND(LEN(H54)=12,I54="Да",J54="Да",M54="Оплачено"),"Да","Нет"))</f>
        <v/>
      </c>
      <c r="O54" s="5"/>
    </row>
    <row r="55" customFormat="false" ht="15" hidden="false" customHeight="false" outlineLevel="0" collapsed="false">
      <c r="A55" s="4" t="str">
        <f aca="false">IF(B55="","",ROW()-4)</f>
        <v/>
      </c>
      <c r="B55" s="5"/>
      <c r="C55" s="5"/>
      <c r="D55" s="5"/>
      <c r="E55" s="5"/>
      <c r="F55" s="6"/>
      <c r="G55" s="4" t="str">
        <f aca="false">IF(F55="","",DATEDIF(F55,Сводка!$C$5,"Y"))</f>
        <v/>
      </c>
      <c r="H55" s="7"/>
      <c r="I55" s="8"/>
      <c r="J55" s="8"/>
      <c r="K55" s="9"/>
      <c r="L55" s="10" t="str">
        <f aca="false">IF(OR(B55="",Сводка!$C$4=""),"",Сводка!$C$4-K55)</f>
        <v/>
      </c>
      <c r="M55" s="4" t="str">
        <f aca="false">IF(OR(B55="",Сводка!$C$4=""),"",IF(K55&gt;=Сводка!$C$4,"Оплачено",IF(K55&gt;0,"Частично","Не оплачено")))</f>
        <v/>
      </c>
      <c r="N55" s="4" t="str">
        <f aca="false">IF(B55="","",IF(AND(LEN(H55)=12,I55="Да",J55="Да",M55="Оплачено"),"Да","Нет"))</f>
        <v/>
      </c>
      <c r="O55" s="5"/>
    </row>
    <row r="56" customFormat="false" ht="15" hidden="false" customHeight="false" outlineLevel="0" collapsed="false">
      <c r="A56" s="4" t="str">
        <f aca="false">IF(B56="","",ROW()-4)</f>
        <v/>
      </c>
      <c r="B56" s="5"/>
      <c r="C56" s="5"/>
      <c r="D56" s="5"/>
      <c r="E56" s="5"/>
      <c r="F56" s="6"/>
      <c r="G56" s="4" t="str">
        <f aca="false">IF(F56="","",DATEDIF(F56,Сводка!$C$5,"Y"))</f>
        <v/>
      </c>
      <c r="H56" s="7"/>
      <c r="I56" s="8"/>
      <c r="J56" s="8"/>
      <c r="K56" s="9"/>
      <c r="L56" s="10" t="str">
        <f aca="false">IF(OR(B56="",Сводка!$C$4=""),"",Сводка!$C$4-K56)</f>
        <v/>
      </c>
      <c r="M56" s="4" t="str">
        <f aca="false">IF(OR(B56="",Сводка!$C$4=""),"",IF(K56&gt;=Сводка!$C$4,"Оплачено",IF(K56&gt;0,"Частично","Не оплачено")))</f>
        <v/>
      </c>
      <c r="N56" s="4" t="str">
        <f aca="false">IF(B56="","",IF(AND(LEN(H56)=12,I56="Да",J56="Да",M56="Оплачено"),"Да","Нет"))</f>
        <v/>
      </c>
      <c r="O56" s="5"/>
    </row>
    <row r="57" customFormat="false" ht="15" hidden="false" customHeight="false" outlineLevel="0" collapsed="false">
      <c r="A57" s="4" t="str">
        <f aca="false">IF(B57="","",ROW()-4)</f>
        <v/>
      </c>
      <c r="B57" s="5"/>
      <c r="C57" s="5"/>
      <c r="D57" s="5"/>
      <c r="E57" s="5"/>
      <c r="F57" s="6"/>
      <c r="G57" s="4" t="str">
        <f aca="false">IF(F57="","",DATEDIF(F57,Сводка!$C$5,"Y"))</f>
        <v/>
      </c>
      <c r="H57" s="7"/>
      <c r="I57" s="8"/>
      <c r="J57" s="8"/>
      <c r="K57" s="9"/>
      <c r="L57" s="10" t="str">
        <f aca="false">IF(OR(B57="",Сводка!$C$4=""),"",Сводка!$C$4-K57)</f>
        <v/>
      </c>
      <c r="M57" s="4" t="str">
        <f aca="false">IF(OR(B57="",Сводка!$C$4=""),"",IF(K57&gt;=Сводка!$C$4,"Оплачено",IF(K57&gt;0,"Частично","Не оплачено")))</f>
        <v/>
      </c>
      <c r="N57" s="4" t="str">
        <f aca="false">IF(B57="","",IF(AND(LEN(H57)=12,I57="Да",J57="Да",M57="Оплачено"),"Да","Нет"))</f>
        <v/>
      </c>
      <c r="O57" s="5"/>
    </row>
    <row r="58" customFormat="false" ht="15" hidden="false" customHeight="false" outlineLevel="0" collapsed="false">
      <c r="A58" s="4" t="str">
        <f aca="false">IF(B58="","",ROW()-4)</f>
        <v/>
      </c>
      <c r="B58" s="5"/>
      <c r="C58" s="5"/>
      <c r="D58" s="5"/>
      <c r="E58" s="5"/>
      <c r="F58" s="6"/>
      <c r="G58" s="4" t="str">
        <f aca="false">IF(F58="","",DATEDIF(F58,Сводка!$C$5,"Y"))</f>
        <v/>
      </c>
      <c r="H58" s="7"/>
      <c r="I58" s="8"/>
      <c r="J58" s="8"/>
      <c r="K58" s="9"/>
      <c r="L58" s="10" t="str">
        <f aca="false">IF(OR(B58="",Сводка!$C$4=""),"",Сводка!$C$4-K58)</f>
        <v/>
      </c>
      <c r="M58" s="4" t="str">
        <f aca="false">IF(OR(B58="",Сводка!$C$4=""),"",IF(K58&gt;=Сводка!$C$4,"Оплачено",IF(K58&gt;0,"Частично","Не оплачено")))</f>
        <v/>
      </c>
      <c r="N58" s="4" t="str">
        <f aca="false">IF(B58="","",IF(AND(LEN(H58)=12,I58="Да",J58="Да",M58="Оплачено"),"Да","Нет"))</f>
        <v/>
      </c>
      <c r="O58" s="5"/>
    </row>
    <row r="59" customFormat="false" ht="15" hidden="false" customHeight="false" outlineLevel="0" collapsed="false">
      <c r="A59" s="4" t="str">
        <f aca="false">IF(B59="","",ROW()-4)</f>
        <v/>
      </c>
      <c r="B59" s="5"/>
      <c r="C59" s="5"/>
      <c r="D59" s="5"/>
      <c r="E59" s="5"/>
      <c r="F59" s="6"/>
      <c r="G59" s="4" t="str">
        <f aca="false">IF(F59="","",DATEDIF(F59,Сводка!$C$5,"Y"))</f>
        <v/>
      </c>
      <c r="H59" s="7"/>
      <c r="I59" s="8"/>
      <c r="J59" s="8"/>
      <c r="K59" s="9"/>
      <c r="L59" s="10" t="str">
        <f aca="false">IF(OR(B59="",Сводка!$C$4=""),"",Сводка!$C$4-K59)</f>
        <v/>
      </c>
      <c r="M59" s="4" t="str">
        <f aca="false">IF(OR(B59="",Сводка!$C$4=""),"",IF(K59&gt;=Сводка!$C$4,"Оплачено",IF(K59&gt;0,"Частично","Не оплачено")))</f>
        <v/>
      </c>
      <c r="N59" s="4" t="str">
        <f aca="false">IF(B59="","",IF(AND(LEN(H59)=12,I59="Да",J59="Да",M59="Оплачено"),"Да","Нет"))</f>
        <v/>
      </c>
      <c r="O59" s="5"/>
    </row>
    <row r="60" customFormat="false" ht="15" hidden="false" customHeight="false" outlineLevel="0" collapsed="false">
      <c r="A60" s="4" t="str">
        <f aca="false">IF(B60="","",ROW()-4)</f>
        <v/>
      </c>
      <c r="B60" s="5"/>
      <c r="C60" s="5"/>
      <c r="D60" s="5"/>
      <c r="E60" s="5"/>
      <c r="F60" s="6"/>
      <c r="G60" s="4" t="str">
        <f aca="false">IF(F60="","",DATEDIF(F60,Сводка!$C$5,"Y"))</f>
        <v/>
      </c>
      <c r="H60" s="7"/>
      <c r="I60" s="8"/>
      <c r="J60" s="8"/>
      <c r="K60" s="9"/>
      <c r="L60" s="10" t="str">
        <f aca="false">IF(OR(B60="",Сводка!$C$4=""),"",Сводка!$C$4-K60)</f>
        <v/>
      </c>
      <c r="M60" s="4" t="str">
        <f aca="false">IF(OR(B60="",Сводка!$C$4=""),"",IF(K60&gt;=Сводка!$C$4,"Оплачено",IF(K60&gt;0,"Частично","Не оплачено")))</f>
        <v/>
      </c>
      <c r="N60" s="4" t="str">
        <f aca="false">IF(B60="","",IF(AND(LEN(H60)=12,I60="Да",J60="Да",M60="Оплачено"),"Да","Нет"))</f>
        <v/>
      </c>
      <c r="O60" s="5"/>
    </row>
    <row r="61" customFormat="false" ht="15" hidden="false" customHeight="false" outlineLevel="0" collapsed="false">
      <c r="A61" s="4" t="str">
        <f aca="false">IF(B61="","",ROW()-4)</f>
        <v/>
      </c>
      <c r="B61" s="5"/>
      <c r="C61" s="5"/>
      <c r="D61" s="5"/>
      <c r="E61" s="5"/>
      <c r="F61" s="6"/>
      <c r="G61" s="4" t="str">
        <f aca="false">IF(F61="","",DATEDIF(F61,Сводка!$C$5,"Y"))</f>
        <v/>
      </c>
      <c r="H61" s="7"/>
      <c r="I61" s="8"/>
      <c r="J61" s="8"/>
      <c r="K61" s="9"/>
      <c r="L61" s="10" t="str">
        <f aca="false">IF(OR(B61="",Сводка!$C$4=""),"",Сводка!$C$4-K61)</f>
        <v/>
      </c>
      <c r="M61" s="4" t="str">
        <f aca="false">IF(OR(B61="",Сводка!$C$4=""),"",IF(K61&gt;=Сводка!$C$4,"Оплачено",IF(K61&gt;0,"Частично","Не оплачено")))</f>
        <v/>
      </c>
      <c r="N61" s="4" t="str">
        <f aca="false">IF(B61="","",IF(AND(LEN(H61)=12,I61="Да",J61="Да",M61="Оплачено"),"Да","Нет"))</f>
        <v/>
      </c>
      <c r="O61" s="5"/>
    </row>
    <row r="62" customFormat="false" ht="15" hidden="false" customHeight="false" outlineLevel="0" collapsed="false">
      <c r="A62" s="4" t="str">
        <f aca="false">IF(B62="","",ROW()-4)</f>
        <v/>
      </c>
      <c r="B62" s="5"/>
      <c r="C62" s="5"/>
      <c r="D62" s="5"/>
      <c r="E62" s="5"/>
      <c r="F62" s="6"/>
      <c r="G62" s="4" t="str">
        <f aca="false">IF(F62="","",DATEDIF(F62,Сводка!$C$5,"Y"))</f>
        <v/>
      </c>
      <c r="H62" s="7"/>
      <c r="I62" s="8"/>
      <c r="J62" s="8"/>
      <c r="K62" s="9"/>
      <c r="L62" s="10" t="str">
        <f aca="false">IF(OR(B62="",Сводка!$C$4=""),"",Сводка!$C$4-K62)</f>
        <v/>
      </c>
      <c r="M62" s="4" t="str">
        <f aca="false">IF(OR(B62="",Сводка!$C$4=""),"",IF(K62&gt;=Сводка!$C$4,"Оплачено",IF(K62&gt;0,"Частично","Не оплачено")))</f>
        <v/>
      </c>
      <c r="N62" s="4" t="str">
        <f aca="false">IF(B62="","",IF(AND(LEN(H62)=12,I62="Да",J62="Да",M62="Оплачено"),"Да","Нет"))</f>
        <v/>
      </c>
      <c r="O62" s="5"/>
    </row>
    <row r="63" customFormat="false" ht="15" hidden="false" customHeight="false" outlineLevel="0" collapsed="false">
      <c r="A63" s="4" t="str">
        <f aca="false">IF(B63="","",ROW()-4)</f>
        <v/>
      </c>
      <c r="B63" s="5"/>
      <c r="C63" s="5"/>
      <c r="D63" s="5"/>
      <c r="E63" s="5"/>
      <c r="F63" s="6"/>
      <c r="G63" s="4" t="str">
        <f aca="false">IF(F63="","",DATEDIF(F63,Сводка!$C$5,"Y"))</f>
        <v/>
      </c>
      <c r="H63" s="7"/>
      <c r="I63" s="8"/>
      <c r="J63" s="8"/>
      <c r="K63" s="9"/>
      <c r="L63" s="10" t="str">
        <f aca="false">IF(OR(B63="",Сводка!$C$4=""),"",Сводка!$C$4-K63)</f>
        <v/>
      </c>
      <c r="M63" s="4" t="str">
        <f aca="false">IF(OR(B63="",Сводка!$C$4=""),"",IF(K63&gt;=Сводка!$C$4,"Оплачено",IF(K63&gt;0,"Частично","Не оплачено")))</f>
        <v/>
      </c>
      <c r="N63" s="4" t="str">
        <f aca="false">IF(B63="","",IF(AND(LEN(H63)=12,I63="Да",J63="Да",M63="Оплачено"),"Да","Нет"))</f>
        <v/>
      </c>
      <c r="O63" s="5"/>
    </row>
    <row r="64" customFormat="false" ht="15" hidden="false" customHeight="false" outlineLevel="0" collapsed="false">
      <c r="A64" s="4" t="str">
        <f aca="false">IF(B64="","",ROW()-4)</f>
        <v/>
      </c>
      <c r="B64" s="5"/>
      <c r="C64" s="5"/>
      <c r="D64" s="5"/>
      <c r="E64" s="5"/>
      <c r="F64" s="6"/>
      <c r="G64" s="4" t="str">
        <f aca="false">IF(F64="","",DATEDIF(F64,Сводка!$C$5,"Y"))</f>
        <v/>
      </c>
      <c r="H64" s="7"/>
      <c r="I64" s="8"/>
      <c r="J64" s="8"/>
      <c r="K64" s="9"/>
      <c r="L64" s="10" t="str">
        <f aca="false">IF(OR(B64="",Сводка!$C$4=""),"",Сводка!$C$4-K64)</f>
        <v/>
      </c>
      <c r="M64" s="4" t="str">
        <f aca="false">IF(OR(B64="",Сводка!$C$4=""),"",IF(K64&gt;=Сводка!$C$4,"Оплачено",IF(K64&gt;0,"Частично","Не оплачено")))</f>
        <v/>
      </c>
      <c r="N64" s="4" t="str">
        <f aca="false">IF(B64="","",IF(AND(LEN(H64)=12,I64="Да",J64="Да",M64="Оплачено"),"Да","Нет"))</f>
        <v/>
      </c>
      <c r="O64" s="5"/>
    </row>
    <row r="65" customFormat="false" ht="15" hidden="false" customHeight="false" outlineLevel="0" collapsed="false">
      <c r="A65" s="4" t="str">
        <f aca="false">IF(B65="","",ROW()-4)</f>
        <v/>
      </c>
      <c r="B65" s="5"/>
      <c r="C65" s="5"/>
      <c r="D65" s="5"/>
      <c r="E65" s="5"/>
      <c r="F65" s="6"/>
      <c r="G65" s="4" t="str">
        <f aca="false">IF(F65="","",DATEDIF(F65,Сводка!$C$5,"Y"))</f>
        <v/>
      </c>
      <c r="H65" s="7"/>
      <c r="I65" s="8"/>
      <c r="J65" s="8"/>
      <c r="K65" s="9"/>
      <c r="L65" s="10" t="str">
        <f aca="false">IF(OR(B65="",Сводка!$C$4=""),"",Сводка!$C$4-K65)</f>
        <v/>
      </c>
      <c r="M65" s="4" t="str">
        <f aca="false">IF(OR(B65="",Сводка!$C$4=""),"",IF(K65&gt;=Сводка!$C$4,"Оплачено",IF(K65&gt;0,"Частично","Не оплачено")))</f>
        <v/>
      </c>
      <c r="N65" s="4" t="str">
        <f aca="false">IF(B65="","",IF(AND(LEN(H65)=12,I65="Да",J65="Да",M65="Оплачено"),"Да","Нет"))</f>
        <v/>
      </c>
      <c r="O65" s="5"/>
    </row>
    <row r="66" customFormat="false" ht="15" hidden="false" customHeight="false" outlineLevel="0" collapsed="false">
      <c r="A66" s="4" t="str">
        <f aca="false">IF(B66="","",ROW()-4)</f>
        <v/>
      </c>
      <c r="B66" s="5"/>
      <c r="C66" s="5"/>
      <c r="D66" s="5"/>
      <c r="E66" s="5"/>
      <c r="F66" s="6"/>
      <c r="G66" s="4" t="str">
        <f aca="false">IF(F66="","",DATEDIF(F66,Сводка!$C$5,"Y"))</f>
        <v/>
      </c>
      <c r="H66" s="7"/>
      <c r="I66" s="8"/>
      <c r="J66" s="8"/>
      <c r="K66" s="9"/>
      <c r="L66" s="10" t="str">
        <f aca="false">IF(OR(B66="",Сводка!$C$4=""),"",Сводка!$C$4-K66)</f>
        <v/>
      </c>
      <c r="M66" s="4" t="str">
        <f aca="false">IF(OR(B66="",Сводка!$C$4=""),"",IF(K66&gt;=Сводка!$C$4,"Оплачено",IF(K66&gt;0,"Частично","Не оплачено")))</f>
        <v/>
      </c>
      <c r="N66" s="4" t="str">
        <f aca="false">IF(B66="","",IF(AND(LEN(H66)=12,I66="Да",J66="Да",M66="Оплачено"),"Да","Нет"))</f>
        <v/>
      </c>
      <c r="O66" s="5"/>
    </row>
    <row r="67" customFormat="false" ht="15" hidden="false" customHeight="false" outlineLevel="0" collapsed="false">
      <c r="A67" s="4" t="str">
        <f aca="false">IF(B67="","",ROW()-4)</f>
        <v/>
      </c>
      <c r="B67" s="5"/>
      <c r="C67" s="5"/>
      <c r="D67" s="5"/>
      <c r="E67" s="5"/>
      <c r="F67" s="6"/>
      <c r="G67" s="4" t="str">
        <f aca="false">IF(F67="","",DATEDIF(F67,Сводка!$C$5,"Y"))</f>
        <v/>
      </c>
      <c r="H67" s="7"/>
      <c r="I67" s="8"/>
      <c r="J67" s="8"/>
      <c r="K67" s="9"/>
      <c r="L67" s="10" t="str">
        <f aca="false">IF(OR(B67="",Сводка!$C$4=""),"",Сводка!$C$4-K67)</f>
        <v/>
      </c>
      <c r="M67" s="4" t="str">
        <f aca="false">IF(OR(B67="",Сводка!$C$4=""),"",IF(K67&gt;=Сводка!$C$4,"Оплачено",IF(K67&gt;0,"Частично","Не оплачено")))</f>
        <v/>
      </c>
      <c r="N67" s="4" t="str">
        <f aca="false">IF(B67="","",IF(AND(LEN(H67)=12,I67="Да",J67="Да",M67="Оплачено"),"Да","Нет"))</f>
        <v/>
      </c>
      <c r="O67" s="5"/>
    </row>
    <row r="68" customFormat="false" ht="15" hidden="false" customHeight="false" outlineLevel="0" collapsed="false">
      <c r="A68" s="4" t="str">
        <f aca="false">IF(B68="","",ROW()-4)</f>
        <v/>
      </c>
      <c r="B68" s="5"/>
      <c r="C68" s="5"/>
      <c r="D68" s="5"/>
      <c r="E68" s="5"/>
      <c r="F68" s="6"/>
      <c r="G68" s="4" t="str">
        <f aca="false">IF(F68="","",DATEDIF(F68,Сводка!$C$5,"Y"))</f>
        <v/>
      </c>
      <c r="H68" s="7"/>
      <c r="I68" s="8"/>
      <c r="J68" s="8"/>
      <c r="K68" s="9"/>
      <c r="L68" s="10" t="str">
        <f aca="false">IF(OR(B68="",Сводка!$C$4=""),"",Сводка!$C$4-K68)</f>
        <v/>
      </c>
      <c r="M68" s="4" t="str">
        <f aca="false">IF(OR(B68="",Сводка!$C$4=""),"",IF(K68&gt;=Сводка!$C$4,"Оплачено",IF(K68&gt;0,"Частично","Не оплачено")))</f>
        <v/>
      </c>
      <c r="N68" s="4" t="str">
        <f aca="false">IF(B68="","",IF(AND(LEN(H68)=12,I68="Да",J68="Да",M68="Оплачено"),"Да","Нет"))</f>
        <v/>
      </c>
      <c r="O68" s="5"/>
    </row>
    <row r="69" customFormat="false" ht="15" hidden="false" customHeight="false" outlineLevel="0" collapsed="false">
      <c r="A69" s="4" t="str">
        <f aca="false">IF(B69="","",ROW()-4)</f>
        <v/>
      </c>
      <c r="B69" s="5"/>
      <c r="C69" s="5"/>
      <c r="D69" s="5"/>
      <c r="E69" s="5"/>
      <c r="F69" s="6"/>
      <c r="G69" s="4" t="str">
        <f aca="false">IF(F69="","",DATEDIF(F69,Сводка!$C$5,"Y"))</f>
        <v/>
      </c>
      <c r="H69" s="7"/>
      <c r="I69" s="8"/>
      <c r="J69" s="8"/>
      <c r="K69" s="9"/>
      <c r="L69" s="10" t="str">
        <f aca="false">IF(OR(B69="",Сводка!$C$4=""),"",Сводка!$C$4-K69)</f>
        <v/>
      </c>
      <c r="M69" s="4" t="str">
        <f aca="false">IF(OR(B69="",Сводка!$C$4=""),"",IF(K69&gt;=Сводка!$C$4,"Оплачено",IF(K69&gt;0,"Частично","Не оплачено")))</f>
        <v/>
      </c>
      <c r="N69" s="4" t="str">
        <f aca="false">IF(B69="","",IF(AND(LEN(H69)=12,I69="Да",J69="Да",M69="Оплачено"),"Да","Нет"))</f>
        <v/>
      </c>
      <c r="O69" s="5"/>
    </row>
    <row r="70" customFormat="false" ht="15" hidden="false" customHeight="false" outlineLevel="0" collapsed="false">
      <c r="A70" s="4" t="str">
        <f aca="false">IF(B70="","",ROW()-4)</f>
        <v/>
      </c>
      <c r="B70" s="5"/>
      <c r="C70" s="5"/>
      <c r="D70" s="5"/>
      <c r="E70" s="5"/>
      <c r="F70" s="6"/>
      <c r="G70" s="4" t="str">
        <f aca="false">IF(F70="","",DATEDIF(F70,Сводка!$C$5,"Y"))</f>
        <v/>
      </c>
      <c r="H70" s="7"/>
      <c r="I70" s="8"/>
      <c r="J70" s="8"/>
      <c r="K70" s="9"/>
      <c r="L70" s="10" t="str">
        <f aca="false">IF(OR(B70="",Сводка!$C$4=""),"",Сводка!$C$4-K70)</f>
        <v/>
      </c>
      <c r="M70" s="4" t="str">
        <f aca="false">IF(OR(B70="",Сводка!$C$4=""),"",IF(K70&gt;=Сводка!$C$4,"Оплачено",IF(K70&gt;0,"Частично","Не оплачено")))</f>
        <v/>
      </c>
      <c r="N70" s="4" t="str">
        <f aca="false">IF(B70="","",IF(AND(LEN(H70)=12,I70="Да",J70="Да",M70="Оплачено"),"Да","Нет"))</f>
        <v/>
      </c>
      <c r="O70" s="5"/>
    </row>
    <row r="71" customFormat="false" ht="15" hidden="false" customHeight="false" outlineLevel="0" collapsed="false">
      <c r="A71" s="4" t="str">
        <f aca="false">IF(B71="","",ROW()-4)</f>
        <v/>
      </c>
      <c r="B71" s="5"/>
      <c r="C71" s="5"/>
      <c r="D71" s="5"/>
      <c r="E71" s="5"/>
      <c r="F71" s="6"/>
      <c r="G71" s="4" t="str">
        <f aca="false">IF(F71="","",DATEDIF(F71,Сводка!$C$5,"Y"))</f>
        <v/>
      </c>
      <c r="H71" s="7"/>
      <c r="I71" s="8"/>
      <c r="J71" s="8"/>
      <c r="K71" s="9"/>
      <c r="L71" s="10" t="str">
        <f aca="false">IF(OR(B71="",Сводка!$C$4=""),"",Сводка!$C$4-K71)</f>
        <v/>
      </c>
      <c r="M71" s="4" t="str">
        <f aca="false">IF(OR(B71="",Сводка!$C$4=""),"",IF(K71&gt;=Сводка!$C$4,"Оплачено",IF(K71&gt;0,"Частично","Не оплачено")))</f>
        <v/>
      </c>
      <c r="N71" s="4" t="str">
        <f aca="false">IF(B71="","",IF(AND(LEN(H71)=12,I71="Да",J71="Да",M71="Оплачено"),"Да","Нет"))</f>
        <v/>
      </c>
      <c r="O71" s="5"/>
    </row>
    <row r="72" customFormat="false" ht="15" hidden="false" customHeight="false" outlineLevel="0" collapsed="false">
      <c r="A72" s="4" t="str">
        <f aca="false">IF(B72="","",ROW()-4)</f>
        <v/>
      </c>
      <c r="B72" s="5"/>
      <c r="C72" s="5"/>
      <c r="D72" s="5"/>
      <c r="E72" s="5"/>
      <c r="F72" s="6"/>
      <c r="G72" s="4" t="str">
        <f aca="false">IF(F72="","",DATEDIF(F72,Сводка!$C$5,"Y"))</f>
        <v/>
      </c>
      <c r="H72" s="7"/>
      <c r="I72" s="8"/>
      <c r="J72" s="8"/>
      <c r="K72" s="9"/>
      <c r="L72" s="10" t="str">
        <f aca="false">IF(OR(B72="",Сводка!$C$4=""),"",Сводка!$C$4-K72)</f>
        <v/>
      </c>
      <c r="M72" s="4" t="str">
        <f aca="false">IF(OR(B72="",Сводка!$C$4=""),"",IF(K72&gt;=Сводка!$C$4,"Оплачено",IF(K72&gt;0,"Частично","Не оплачено")))</f>
        <v/>
      </c>
      <c r="N72" s="4" t="str">
        <f aca="false">IF(B72="","",IF(AND(LEN(H72)=12,I72="Да",J72="Да",M72="Оплачено"),"Да","Нет"))</f>
        <v/>
      </c>
      <c r="O72" s="5"/>
    </row>
    <row r="73" customFormat="false" ht="15" hidden="false" customHeight="false" outlineLevel="0" collapsed="false">
      <c r="A73" s="4" t="str">
        <f aca="false">IF(B73="","",ROW()-4)</f>
        <v/>
      </c>
      <c r="B73" s="5"/>
      <c r="C73" s="5"/>
      <c r="D73" s="5"/>
      <c r="E73" s="5"/>
      <c r="F73" s="6"/>
      <c r="G73" s="4" t="str">
        <f aca="false">IF(F73="","",DATEDIF(F73,Сводка!$C$5,"Y"))</f>
        <v/>
      </c>
      <c r="H73" s="7"/>
      <c r="I73" s="8"/>
      <c r="J73" s="8"/>
      <c r="K73" s="9"/>
      <c r="L73" s="10" t="str">
        <f aca="false">IF(OR(B73="",Сводка!$C$4=""),"",Сводка!$C$4-K73)</f>
        <v/>
      </c>
      <c r="M73" s="4" t="str">
        <f aca="false">IF(OR(B73="",Сводка!$C$4=""),"",IF(K73&gt;=Сводка!$C$4,"Оплачено",IF(K73&gt;0,"Частично","Не оплачено")))</f>
        <v/>
      </c>
      <c r="N73" s="4" t="str">
        <f aca="false">IF(B73="","",IF(AND(LEN(H73)=12,I73="Да",J73="Да",M73="Оплачено"),"Да","Нет"))</f>
        <v/>
      </c>
      <c r="O73" s="5"/>
    </row>
    <row r="74" customFormat="false" ht="15" hidden="false" customHeight="false" outlineLevel="0" collapsed="false">
      <c r="A74" s="4" t="str">
        <f aca="false">IF(B74="","",ROW()-4)</f>
        <v/>
      </c>
      <c r="B74" s="5"/>
      <c r="C74" s="5"/>
      <c r="D74" s="5"/>
      <c r="E74" s="5"/>
      <c r="F74" s="6"/>
      <c r="G74" s="4" t="str">
        <f aca="false">IF(F74="","",DATEDIF(F74,Сводка!$C$5,"Y"))</f>
        <v/>
      </c>
      <c r="H74" s="7"/>
      <c r="I74" s="8"/>
      <c r="J74" s="8"/>
      <c r="K74" s="9"/>
      <c r="L74" s="10" t="str">
        <f aca="false">IF(OR(B74="",Сводка!$C$4=""),"",Сводка!$C$4-K74)</f>
        <v/>
      </c>
      <c r="M74" s="4" t="str">
        <f aca="false">IF(OR(B74="",Сводка!$C$4=""),"",IF(K74&gt;=Сводка!$C$4,"Оплачено",IF(K74&gt;0,"Частично","Не оплачено")))</f>
        <v/>
      </c>
      <c r="N74" s="4" t="str">
        <f aca="false">IF(B74="","",IF(AND(LEN(H74)=12,I74="Да",J74="Да",M74="Оплачено"),"Да","Нет"))</f>
        <v/>
      </c>
      <c r="O74" s="5"/>
    </row>
    <row r="75" customFormat="false" ht="15" hidden="false" customHeight="false" outlineLevel="0" collapsed="false">
      <c r="A75" s="4" t="str">
        <f aca="false">IF(B75="","",ROW()-4)</f>
        <v/>
      </c>
      <c r="B75" s="5"/>
      <c r="C75" s="5"/>
      <c r="D75" s="5"/>
      <c r="E75" s="5"/>
      <c r="F75" s="6"/>
      <c r="G75" s="4" t="str">
        <f aca="false">IF(F75="","",DATEDIF(F75,Сводка!$C$5,"Y"))</f>
        <v/>
      </c>
      <c r="H75" s="7"/>
      <c r="I75" s="8"/>
      <c r="J75" s="8"/>
      <c r="K75" s="9"/>
      <c r="L75" s="10" t="str">
        <f aca="false">IF(OR(B75="",Сводка!$C$4=""),"",Сводка!$C$4-K75)</f>
        <v/>
      </c>
      <c r="M75" s="4" t="str">
        <f aca="false">IF(OR(B75="",Сводка!$C$4=""),"",IF(K75&gt;=Сводка!$C$4,"Оплачено",IF(K75&gt;0,"Частично","Не оплачено")))</f>
        <v/>
      </c>
      <c r="N75" s="4" t="str">
        <f aca="false">IF(B75="","",IF(AND(LEN(H75)=12,I75="Да",J75="Да",M75="Оплачено"),"Да","Нет"))</f>
        <v/>
      </c>
      <c r="O75" s="5"/>
    </row>
    <row r="76" customFormat="false" ht="15" hidden="false" customHeight="false" outlineLevel="0" collapsed="false">
      <c r="A76" s="4" t="str">
        <f aca="false">IF(B76="","",ROW()-4)</f>
        <v/>
      </c>
      <c r="B76" s="5"/>
      <c r="C76" s="5"/>
      <c r="D76" s="5"/>
      <c r="E76" s="5"/>
      <c r="F76" s="6"/>
      <c r="G76" s="4" t="str">
        <f aca="false">IF(F76="","",DATEDIF(F76,Сводка!$C$5,"Y"))</f>
        <v/>
      </c>
      <c r="H76" s="7"/>
      <c r="I76" s="8"/>
      <c r="J76" s="8"/>
      <c r="K76" s="9"/>
      <c r="L76" s="10" t="str">
        <f aca="false">IF(OR(B76="",Сводка!$C$4=""),"",Сводка!$C$4-K76)</f>
        <v/>
      </c>
      <c r="M76" s="4" t="str">
        <f aca="false">IF(OR(B76="",Сводка!$C$4=""),"",IF(K76&gt;=Сводка!$C$4,"Оплачено",IF(K76&gt;0,"Частично","Не оплачено")))</f>
        <v/>
      </c>
      <c r="N76" s="4" t="str">
        <f aca="false">IF(B76="","",IF(AND(LEN(H76)=12,I76="Да",J76="Да",M76="Оплачено"),"Да","Нет"))</f>
        <v/>
      </c>
      <c r="O76" s="5"/>
    </row>
    <row r="77" customFormat="false" ht="15" hidden="false" customHeight="false" outlineLevel="0" collapsed="false">
      <c r="A77" s="4" t="str">
        <f aca="false">IF(B77="","",ROW()-4)</f>
        <v/>
      </c>
      <c r="B77" s="5"/>
      <c r="C77" s="5"/>
      <c r="D77" s="5"/>
      <c r="E77" s="5"/>
      <c r="F77" s="6"/>
      <c r="G77" s="4" t="str">
        <f aca="false">IF(F77="","",DATEDIF(F77,Сводка!$C$5,"Y"))</f>
        <v/>
      </c>
      <c r="H77" s="7"/>
      <c r="I77" s="8"/>
      <c r="J77" s="8"/>
      <c r="K77" s="9"/>
      <c r="L77" s="10" t="str">
        <f aca="false">IF(OR(B77="",Сводка!$C$4=""),"",Сводка!$C$4-K77)</f>
        <v/>
      </c>
      <c r="M77" s="4" t="str">
        <f aca="false">IF(OR(B77="",Сводка!$C$4=""),"",IF(K77&gt;=Сводка!$C$4,"Оплачено",IF(K77&gt;0,"Частично","Не оплачено")))</f>
        <v/>
      </c>
      <c r="N77" s="4" t="str">
        <f aca="false">IF(B77="","",IF(AND(LEN(H77)=12,I77="Да",J77="Да",M77="Оплачено"),"Да","Нет"))</f>
        <v/>
      </c>
      <c r="O77" s="5"/>
    </row>
    <row r="78" customFormat="false" ht="15" hidden="false" customHeight="false" outlineLevel="0" collapsed="false">
      <c r="A78" s="4" t="str">
        <f aca="false">IF(B78="","",ROW()-4)</f>
        <v/>
      </c>
      <c r="B78" s="5"/>
      <c r="C78" s="5"/>
      <c r="D78" s="5"/>
      <c r="E78" s="5"/>
      <c r="F78" s="6"/>
      <c r="G78" s="4" t="str">
        <f aca="false">IF(F78="","",DATEDIF(F78,Сводка!$C$5,"Y"))</f>
        <v/>
      </c>
      <c r="H78" s="7"/>
      <c r="I78" s="8"/>
      <c r="J78" s="8"/>
      <c r="K78" s="9"/>
      <c r="L78" s="10" t="str">
        <f aca="false">IF(OR(B78="",Сводка!$C$4=""),"",Сводка!$C$4-K78)</f>
        <v/>
      </c>
      <c r="M78" s="4" t="str">
        <f aca="false">IF(OR(B78="",Сводка!$C$4=""),"",IF(K78&gt;=Сводка!$C$4,"Оплачено",IF(K78&gt;0,"Частично","Не оплачено")))</f>
        <v/>
      </c>
      <c r="N78" s="4" t="str">
        <f aca="false">IF(B78="","",IF(AND(LEN(H78)=12,I78="Да",J78="Да",M78="Оплачено"),"Да","Нет"))</f>
        <v/>
      </c>
      <c r="O78" s="5"/>
    </row>
    <row r="79" customFormat="false" ht="15" hidden="false" customHeight="false" outlineLevel="0" collapsed="false">
      <c r="A79" s="4" t="str">
        <f aca="false">IF(B79="","",ROW()-4)</f>
        <v/>
      </c>
      <c r="B79" s="5"/>
      <c r="C79" s="5"/>
      <c r="D79" s="5"/>
      <c r="E79" s="5"/>
      <c r="F79" s="6"/>
      <c r="G79" s="4" t="str">
        <f aca="false">IF(F79="","",DATEDIF(F79,Сводка!$C$5,"Y"))</f>
        <v/>
      </c>
      <c r="H79" s="7"/>
      <c r="I79" s="8"/>
      <c r="J79" s="8"/>
      <c r="K79" s="9"/>
      <c r="L79" s="10" t="str">
        <f aca="false">IF(OR(B79="",Сводка!$C$4=""),"",Сводка!$C$4-K79)</f>
        <v/>
      </c>
      <c r="M79" s="4" t="str">
        <f aca="false">IF(OR(B79="",Сводка!$C$4=""),"",IF(K79&gt;=Сводка!$C$4,"Оплачено",IF(K79&gt;0,"Частично","Не оплачено")))</f>
        <v/>
      </c>
      <c r="N79" s="4" t="str">
        <f aca="false">IF(B79="","",IF(AND(LEN(H79)=12,I79="Да",J79="Да",M79="Оплачено"),"Да","Нет"))</f>
        <v/>
      </c>
      <c r="O79" s="5"/>
    </row>
    <row r="80" customFormat="false" ht="15" hidden="false" customHeight="false" outlineLevel="0" collapsed="false">
      <c r="A80" s="4" t="str">
        <f aca="false">IF(B80="","",ROW()-4)</f>
        <v/>
      </c>
      <c r="B80" s="5"/>
      <c r="C80" s="5"/>
      <c r="D80" s="5"/>
      <c r="E80" s="5"/>
      <c r="F80" s="6"/>
      <c r="G80" s="4" t="str">
        <f aca="false">IF(F80="","",DATEDIF(F80,Сводка!$C$5,"Y"))</f>
        <v/>
      </c>
      <c r="H80" s="7"/>
      <c r="I80" s="8"/>
      <c r="J80" s="8"/>
      <c r="K80" s="9"/>
      <c r="L80" s="10" t="str">
        <f aca="false">IF(OR(B80="",Сводка!$C$4=""),"",Сводка!$C$4-K80)</f>
        <v/>
      </c>
      <c r="M80" s="4" t="str">
        <f aca="false">IF(OR(B80="",Сводка!$C$4=""),"",IF(K80&gt;=Сводка!$C$4,"Оплачено",IF(K80&gt;0,"Частично","Не оплачено")))</f>
        <v/>
      </c>
      <c r="N80" s="4" t="str">
        <f aca="false">IF(B80="","",IF(AND(LEN(H80)=12,I80="Да",J80="Да",M80="Оплачено"),"Да","Нет"))</f>
        <v/>
      </c>
      <c r="O80" s="5"/>
    </row>
    <row r="81" customFormat="false" ht="15" hidden="false" customHeight="false" outlineLevel="0" collapsed="false">
      <c r="A81" s="4" t="str">
        <f aca="false">IF(B81="","",ROW()-4)</f>
        <v/>
      </c>
      <c r="B81" s="5"/>
      <c r="C81" s="5"/>
      <c r="D81" s="5"/>
      <c r="E81" s="5"/>
      <c r="F81" s="6"/>
      <c r="G81" s="4" t="str">
        <f aca="false">IF(F81="","",DATEDIF(F81,Сводка!$C$5,"Y"))</f>
        <v/>
      </c>
      <c r="H81" s="7"/>
      <c r="I81" s="8"/>
      <c r="J81" s="8"/>
      <c r="K81" s="9"/>
      <c r="L81" s="10" t="str">
        <f aca="false">IF(OR(B81="",Сводка!$C$4=""),"",Сводка!$C$4-K81)</f>
        <v/>
      </c>
      <c r="M81" s="4" t="str">
        <f aca="false">IF(OR(B81="",Сводка!$C$4=""),"",IF(K81&gt;=Сводка!$C$4,"Оплачено",IF(K81&gt;0,"Частично","Не оплачено")))</f>
        <v/>
      </c>
      <c r="N81" s="4" t="str">
        <f aca="false">IF(B81="","",IF(AND(LEN(H81)=12,I81="Да",J81="Да",M81="Оплачено"),"Да","Нет"))</f>
        <v/>
      </c>
      <c r="O81" s="5"/>
    </row>
    <row r="82" customFormat="false" ht="15" hidden="false" customHeight="false" outlineLevel="0" collapsed="false">
      <c r="A82" s="4" t="str">
        <f aca="false">IF(B82="","",ROW()-4)</f>
        <v/>
      </c>
      <c r="B82" s="5"/>
      <c r="C82" s="5"/>
      <c r="D82" s="5"/>
      <c r="E82" s="5"/>
      <c r="F82" s="6"/>
      <c r="G82" s="4" t="str">
        <f aca="false">IF(F82="","",DATEDIF(F82,Сводка!$C$5,"Y"))</f>
        <v/>
      </c>
      <c r="H82" s="7"/>
      <c r="I82" s="8"/>
      <c r="J82" s="8"/>
      <c r="K82" s="9"/>
      <c r="L82" s="10" t="str">
        <f aca="false">IF(OR(B82="",Сводка!$C$4=""),"",Сводка!$C$4-K82)</f>
        <v/>
      </c>
      <c r="M82" s="4" t="str">
        <f aca="false">IF(OR(B82="",Сводка!$C$4=""),"",IF(K82&gt;=Сводка!$C$4,"Оплачено",IF(K82&gt;0,"Частично","Не оплачено")))</f>
        <v/>
      </c>
      <c r="N82" s="4" t="str">
        <f aca="false">IF(B82="","",IF(AND(LEN(H82)=12,I82="Да",J82="Да",M82="Оплачено"),"Да","Нет"))</f>
        <v/>
      </c>
      <c r="O82" s="5"/>
    </row>
    <row r="83" customFormat="false" ht="15" hidden="false" customHeight="false" outlineLevel="0" collapsed="false">
      <c r="A83" s="4" t="str">
        <f aca="false">IF(B83="","",ROW()-4)</f>
        <v/>
      </c>
      <c r="B83" s="5"/>
      <c r="C83" s="5"/>
      <c r="D83" s="5"/>
      <c r="E83" s="5"/>
      <c r="F83" s="6"/>
      <c r="G83" s="4" t="str">
        <f aca="false">IF(F83="","",DATEDIF(F83,Сводка!$C$5,"Y"))</f>
        <v/>
      </c>
      <c r="H83" s="7"/>
      <c r="I83" s="8"/>
      <c r="J83" s="8"/>
      <c r="K83" s="9"/>
      <c r="L83" s="10" t="str">
        <f aca="false">IF(OR(B83="",Сводка!$C$4=""),"",Сводка!$C$4-K83)</f>
        <v/>
      </c>
      <c r="M83" s="4" t="str">
        <f aca="false">IF(OR(B83="",Сводка!$C$4=""),"",IF(K83&gt;=Сводка!$C$4,"Оплачено",IF(K83&gt;0,"Частично","Не оплачено")))</f>
        <v/>
      </c>
      <c r="N83" s="4" t="str">
        <f aca="false">IF(B83="","",IF(AND(LEN(H83)=12,I83="Да",J83="Да",M83="Оплачено"),"Да","Нет"))</f>
        <v/>
      </c>
      <c r="O83" s="5"/>
    </row>
    <row r="84" customFormat="false" ht="15" hidden="false" customHeight="false" outlineLevel="0" collapsed="false">
      <c r="A84" s="4" t="str">
        <f aca="false">IF(B84="","",ROW()-4)</f>
        <v/>
      </c>
      <c r="B84" s="5"/>
      <c r="C84" s="5"/>
      <c r="D84" s="5"/>
      <c r="E84" s="5"/>
      <c r="F84" s="6"/>
      <c r="G84" s="4" t="str">
        <f aca="false">IF(F84="","",DATEDIF(F84,Сводка!$C$5,"Y"))</f>
        <v/>
      </c>
      <c r="H84" s="7"/>
      <c r="I84" s="8"/>
      <c r="J84" s="8"/>
      <c r="K84" s="9"/>
      <c r="L84" s="10" t="str">
        <f aca="false">IF(OR(B84="",Сводка!$C$4=""),"",Сводка!$C$4-K84)</f>
        <v/>
      </c>
      <c r="M84" s="4" t="str">
        <f aca="false">IF(OR(B84="",Сводка!$C$4=""),"",IF(K84&gt;=Сводка!$C$4,"Оплачено",IF(K84&gt;0,"Частично","Не оплачено")))</f>
        <v/>
      </c>
      <c r="N84" s="4" t="str">
        <f aca="false">IF(B84="","",IF(AND(LEN(H84)=12,I84="Да",J84="Да",M84="Оплачено"),"Да","Нет"))</f>
        <v/>
      </c>
      <c r="O84" s="5"/>
    </row>
    <row r="85" customFormat="false" ht="15" hidden="false" customHeight="false" outlineLevel="0" collapsed="false">
      <c r="A85" s="4" t="str">
        <f aca="false">IF(B85="","",ROW()-4)</f>
        <v/>
      </c>
      <c r="B85" s="5"/>
      <c r="C85" s="5"/>
      <c r="D85" s="5"/>
      <c r="E85" s="5"/>
      <c r="F85" s="6"/>
      <c r="G85" s="4" t="str">
        <f aca="false">IF(F85="","",DATEDIF(F85,Сводка!$C$5,"Y"))</f>
        <v/>
      </c>
      <c r="H85" s="7"/>
      <c r="I85" s="8"/>
      <c r="J85" s="8"/>
      <c r="K85" s="9"/>
      <c r="L85" s="10" t="str">
        <f aca="false">IF(OR(B85="",Сводка!$C$4=""),"",Сводка!$C$4-K85)</f>
        <v/>
      </c>
      <c r="M85" s="4" t="str">
        <f aca="false">IF(OR(B85="",Сводка!$C$4=""),"",IF(K85&gt;=Сводка!$C$4,"Оплачено",IF(K85&gt;0,"Частично","Не оплачено")))</f>
        <v/>
      </c>
      <c r="N85" s="4" t="str">
        <f aca="false">IF(B85="","",IF(AND(LEN(H85)=12,I85="Да",J85="Да",M85="Оплачено"),"Да","Нет"))</f>
        <v/>
      </c>
      <c r="O85" s="5"/>
    </row>
    <row r="86" customFormat="false" ht="15" hidden="false" customHeight="false" outlineLevel="0" collapsed="false">
      <c r="A86" s="4" t="str">
        <f aca="false">IF(B86="","",ROW()-4)</f>
        <v/>
      </c>
      <c r="B86" s="5"/>
      <c r="C86" s="5"/>
      <c r="D86" s="5"/>
      <c r="E86" s="5"/>
      <c r="F86" s="6"/>
      <c r="G86" s="4" t="str">
        <f aca="false">IF(F86="","",DATEDIF(F86,Сводка!$C$5,"Y"))</f>
        <v/>
      </c>
      <c r="H86" s="7"/>
      <c r="I86" s="8"/>
      <c r="J86" s="8"/>
      <c r="K86" s="9"/>
      <c r="L86" s="10" t="str">
        <f aca="false">IF(OR(B86="",Сводка!$C$4=""),"",Сводка!$C$4-K86)</f>
        <v/>
      </c>
      <c r="M86" s="4" t="str">
        <f aca="false">IF(OR(B86="",Сводка!$C$4=""),"",IF(K86&gt;=Сводка!$C$4,"Оплачено",IF(K86&gt;0,"Частично","Не оплачено")))</f>
        <v/>
      </c>
      <c r="N86" s="4" t="str">
        <f aca="false">IF(B86="","",IF(AND(LEN(H86)=12,I86="Да",J86="Да",M86="Оплачено"),"Да","Нет"))</f>
        <v/>
      </c>
      <c r="O86" s="5"/>
    </row>
    <row r="87" customFormat="false" ht="15" hidden="false" customHeight="false" outlineLevel="0" collapsed="false">
      <c r="A87" s="4" t="str">
        <f aca="false">IF(B87="","",ROW()-4)</f>
        <v/>
      </c>
      <c r="B87" s="5"/>
      <c r="C87" s="5"/>
      <c r="D87" s="5"/>
      <c r="E87" s="5"/>
      <c r="F87" s="6"/>
      <c r="G87" s="4" t="str">
        <f aca="false">IF(F87="","",DATEDIF(F87,Сводка!$C$5,"Y"))</f>
        <v/>
      </c>
      <c r="H87" s="7"/>
      <c r="I87" s="8"/>
      <c r="J87" s="8"/>
      <c r="K87" s="9"/>
      <c r="L87" s="10" t="str">
        <f aca="false">IF(OR(B87="",Сводка!$C$4=""),"",Сводка!$C$4-K87)</f>
        <v/>
      </c>
      <c r="M87" s="4" t="str">
        <f aca="false">IF(OR(B87="",Сводка!$C$4=""),"",IF(K87&gt;=Сводка!$C$4,"Оплачено",IF(K87&gt;0,"Частично","Не оплачено")))</f>
        <v/>
      </c>
      <c r="N87" s="4" t="str">
        <f aca="false">IF(B87="","",IF(AND(LEN(H87)=12,I87="Да",J87="Да",M87="Оплачено"),"Да","Нет"))</f>
        <v/>
      </c>
      <c r="O87" s="5"/>
    </row>
    <row r="88" customFormat="false" ht="15" hidden="false" customHeight="false" outlineLevel="0" collapsed="false">
      <c r="A88" s="4" t="str">
        <f aca="false">IF(B88="","",ROW()-4)</f>
        <v/>
      </c>
      <c r="B88" s="5"/>
      <c r="C88" s="5"/>
      <c r="D88" s="5"/>
      <c r="E88" s="5"/>
      <c r="F88" s="6"/>
      <c r="G88" s="4" t="str">
        <f aca="false">IF(F88="","",DATEDIF(F88,Сводка!$C$5,"Y"))</f>
        <v/>
      </c>
      <c r="H88" s="7"/>
      <c r="I88" s="8"/>
      <c r="J88" s="8"/>
      <c r="K88" s="9"/>
      <c r="L88" s="10" t="str">
        <f aca="false">IF(OR(B88="",Сводка!$C$4=""),"",Сводка!$C$4-K88)</f>
        <v/>
      </c>
      <c r="M88" s="4" t="str">
        <f aca="false">IF(OR(B88="",Сводка!$C$4=""),"",IF(K88&gt;=Сводка!$C$4,"Оплачено",IF(K88&gt;0,"Частично","Не оплачено")))</f>
        <v/>
      </c>
      <c r="N88" s="4" t="str">
        <f aca="false">IF(B88="","",IF(AND(LEN(H88)=12,I88="Да",J88="Да",M88="Оплачено"),"Да","Нет"))</f>
        <v/>
      </c>
      <c r="O88" s="5"/>
    </row>
    <row r="89" customFormat="false" ht="15" hidden="false" customHeight="false" outlineLevel="0" collapsed="false">
      <c r="A89" s="4" t="str">
        <f aca="false">IF(B89="","",ROW()-4)</f>
        <v/>
      </c>
      <c r="B89" s="5"/>
      <c r="C89" s="5"/>
      <c r="D89" s="5"/>
      <c r="E89" s="5"/>
      <c r="F89" s="6"/>
      <c r="G89" s="4" t="str">
        <f aca="false">IF(F89="","",DATEDIF(F89,Сводка!$C$5,"Y"))</f>
        <v/>
      </c>
      <c r="H89" s="7"/>
      <c r="I89" s="8"/>
      <c r="J89" s="8"/>
      <c r="K89" s="9"/>
      <c r="L89" s="10" t="str">
        <f aca="false">IF(OR(B89="",Сводка!$C$4=""),"",Сводка!$C$4-K89)</f>
        <v/>
      </c>
      <c r="M89" s="4" t="str">
        <f aca="false">IF(OR(B89="",Сводка!$C$4=""),"",IF(K89&gt;=Сводка!$C$4,"Оплачено",IF(K89&gt;0,"Частично","Не оплачено")))</f>
        <v/>
      </c>
      <c r="N89" s="4" t="str">
        <f aca="false">IF(B89="","",IF(AND(LEN(H89)=12,I89="Да",J89="Да",M89="Оплачено"),"Да","Нет"))</f>
        <v/>
      </c>
      <c r="O89" s="5"/>
    </row>
    <row r="90" customFormat="false" ht="15" hidden="false" customHeight="false" outlineLevel="0" collapsed="false">
      <c r="A90" s="4" t="str">
        <f aca="false">IF(B90="","",ROW()-4)</f>
        <v/>
      </c>
      <c r="B90" s="5"/>
      <c r="C90" s="5"/>
      <c r="D90" s="5"/>
      <c r="E90" s="5"/>
      <c r="F90" s="6"/>
      <c r="G90" s="4" t="str">
        <f aca="false">IF(F90="","",DATEDIF(F90,Сводка!$C$5,"Y"))</f>
        <v/>
      </c>
      <c r="H90" s="7"/>
      <c r="I90" s="8"/>
      <c r="J90" s="8"/>
      <c r="K90" s="9"/>
      <c r="L90" s="10" t="str">
        <f aca="false">IF(OR(B90="",Сводка!$C$4=""),"",Сводка!$C$4-K90)</f>
        <v/>
      </c>
      <c r="M90" s="4" t="str">
        <f aca="false">IF(OR(B90="",Сводка!$C$4=""),"",IF(K90&gt;=Сводка!$C$4,"Оплачено",IF(K90&gt;0,"Частично","Не оплачено")))</f>
        <v/>
      </c>
      <c r="N90" s="4" t="str">
        <f aca="false">IF(B90="","",IF(AND(LEN(H90)=12,I90="Да",J90="Да",M90="Оплачено"),"Да","Нет"))</f>
        <v/>
      </c>
      <c r="O90" s="5"/>
    </row>
    <row r="91" customFormat="false" ht="15" hidden="false" customHeight="false" outlineLevel="0" collapsed="false">
      <c r="A91" s="4" t="str">
        <f aca="false">IF(B91="","",ROW()-4)</f>
        <v/>
      </c>
      <c r="B91" s="5"/>
      <c r="C91" s="5"/>
      <c r="D91" s="5"/>
      <c r="E91" s="5"/>
      <c r="F91" s="6"/>
      <c r="G91" s="4" t="str">
        <f aca="false">IF(F91="","",DATEDIF(F91,Сводка!$C$5,"Y"))</f>
        <v/>
      </c>
      <c r="H91" s="7"/>
      <c r="I91" s="8"/>
      <c r="J91" s="8"/>
      <c r="K91" s="9"/>
      <c r="L91" s="10" t="str">
        <f aca="false">IF(OR(B91="",Сводка!$C$4=""),"",Сводка!$C$4-K91)</f>
        <v/>
      </c>
      <c r="M91" s="4" t="str">
        <f aca="false">IF(OR(B91="",Сводка!$C$4=""),"",IF(K91&gt;=Сводка!$C$4,"Оплачено",IF(K91&gt;0,"Частично","Не оплачено")))</f>
        <v/>
      </c>
      <c r="N91" s="4" t="str">
        <f aca="false">IF(B91="","",IF(AND(LEN(H91)=12,I91="Да",J91="Да",M91="Оплачено"),"Да","Нет"))</f>
        <v/>
      </c>
      <c r="O91" s="5"/>
    </row>
    <row r="92" customFormat="false" ht="15" hidden="false" customHeight="false" outlineLevel="0" collapsed="false">
      <c r="A92" s="4" t="str">
        <f aca="false">IF(B92="","",ROW()-4)</f>
        <v/>
      </c>
      <c r="B92" s="5"/>
      <c r="C92" s="5"/>
      <c r="D92" s="5"/>
      <c r="E92" s="5"/>
      <c r="F92" s="6"/>
      <c r="G92" s="4" t="str">
        <f aca="false">IF(F92="","",DATEDIF(F92,Сводка!$C$5,"Y"))</f>
        <v/>
      </c>
      <c r="H92" s="7"/>
      <c r="I92" s="8"/>
      <c r="J92" s="8"/>
      <c r="K92" s="9"/>
      <c r="L92" s="10" t="str">
        <f aca="false">IF(OR(B92="",Сводка!$C$4=""),"",Сводка!$C$4-K92)</f>
        <v/>
      </c>
      <c r="M92" s="4" t="str">
        <f aca="false">IF(OR(B92="",Сводка!$C$4=""),"",IF(K92&gt;=Сводка!$C$4,"Оплачено",IF(K92&gt;0,"Частично","Не оплачено")))</f>
        <v/>
      </c>
      <c r="N92" s="4" t="str">
        <f aca="false">IF(B92="","",IF(AND(LEN(H92)=12,I92="Да",J92="Да",M92="Оплачено"),"Да","Нет"))</f>
        <v/>
      </c>
      <c r="O92" s="5"/>
    </row>
    <row r="93" customFormat="false" ht="15" hidden="false" customHeight="false" outlineLevel="0" collapsed="false">
      <c r="A93" s="4" t="str">
        <f aca="false">IF(B93="","",ROW()-4)</f>
        <v/>
      </c>
      <c r="B93" s="5"/>
      <c r="C93" s="5"/>
      <c r="D93" s="5"/>
      <c r="E93" s="5"/>
      <c r="F93" s="6"/>
      <c r="G93" s="4" t="str">
        <f aca="false">IF(F93="","",DATEDIF(F93,Сводка!$C$5,"Y"))</f>
        <v/>
      </c>
      <c r="H93" s="7"/>
      <c r="I93" s="8"/>
      <c r="J93" s="8"/>
      <c r="K93" s="9"/>
      <c r="L93" s="10" t="str">
        <f aca="false">IF(OR(B93="",Сводка!$C$4=""),"",Сводка!$C$4-K93)</f>
        <v/>
      </c>
      <c r="M93" s="4" t="str">
        <f aca="false">IF(OR(B93="",Сводка!$C$4=""),"",IF(K93&gt;=Сводка!$C$4,"Оплачено",IF(K93&gt;0,"Частично","Не оплачено")))</f>
        <v/>
      </c>
      <c r="N93" s="4" t="str">
        <f aca="false">IF(B93="","",IF(AND(LEN(H93)=12,I93="Да",J93="Да",M93="Оплачено"),"Да","Нет"))</f>
        <v/>
      </c>
      <c r="O93" s="5"/>
    </row>
    <row r="94" customFormat="false" ht="15" hidden="false" customHeight="false" outlineLevel="0" collapsed="false">
      <c r="A94" s="4" t="str">
        <f aca="false">IF(B94="","",ROW()-4)</f>
        <v/>
      </c>
      <c r="B94" s="5"/>
      <c r="C94" s="5"/>
      <c r="D94" s="5"/>
      <c r="E94" s="5"/>
      <c r="F94" s="6"/>
      <c r="G94" s="4" t="str">
        <f aca="false">IF(F94="","",DATEDIF(F94,Сводка!$C$5,"Y"))</f>
        <v/>
      </c>
      <c r="H94" s="7"/>
      <c r="I94" s="8"/>
      <c r="J94" s="8"/>
      <c r="K94" s="9"/>
      <c r="L94" s="10" t="str">
        <f aca="false">IF(OR(B94="",Сводка!$C$4=""),"",Сводка!$C$4-K94)</f>
        <v/>
      </c>
      <c r="M94" s="4" t="str">
        <f aca="false">IF(OR(B94="",Сводка!$C$4=""),"",IF(K94&gt;=Сводка!$C$4,"Оплачено",IF(K94&gt;0,"Частично","Не оплачено")))</f>
        <v/>
      </c>
      <c r="N94" s="4" t="str">
        <f aca="false">IF(B94="","",IF(AND(LEN(H94)=12,I94="Да",J94="Да",M94="Оплачено"),"Да","Нет"))</f>
        <v/>
      </c>
      <c r="O94" s="5"/>
    </row>
    <row r="95" customFormat="false" ht="15" hidden="false" customHeight="false" outlineLevel="0" collapsed="false">
      <c r="A95" s="4" t="str">
        <f aca="false">IF(B95="","",ROW()-4)</f>
        <v/>
      </c>
      <c r="B95" s="5"/>
      <c r="C95" s="5"/>
      <c r="D95" s="5"/>
      <c r="E95" s="5"/>
      <c r="F95" s="6"/>
      <c r="G95" s="4" t="str">
        <f aca="false">IF(F95="","",DATEDIF(F95,Сводка!$C$5,"Y"))</f>
        <v/>
      </c>
      <c r="H95" s="7"/>
      <c r="I95" s="8"/>
      <c r="J95" s="8"/>
      <c r="K95" s="9"/>
      <c r="L95" s="10" t="str">
        <f aca="false">IF(OR(B95="",Сводка!$C$4=""),"",Сводка!$C$4-K95)</f>
        <v/>
      </c>
      <c r="M95" s="4" t="str">
        <f aca="false">IF(OR(B95="",Сводка!$C$4=""),"",IF(K95&gt;=Сводка!$C$4,"Оплачено",IF(K95&gt;0,"Частично","Не оплачено")))</f>
        <v/>
      </c>
      <c r="N95" s="4" t="str">
        <f aca="false">IF(B95="","",IF(AND(LEN(H95)=12,I95="Да",J95="Да",M95="Оплачено"),"Да","Нет"))</f>
        <v/>
      </c>
      <c r="O95" s="5"/>
    </row>
    <row r="96" customFormat="false" ht="15" hidden="false" customHeight="false" outlineLevel="0" collapsed="false">
      <c r="A96" s="4" t="str">
        <f aca="false">IF(B96="","",ROW()-4)</f>
        <v/>
      </c>
      <c r="B96" s="5"/>
      <c r="C96" s="5"/>
      <c r="D96" s="5"/>
      <c r="E96" s="5"/>
      <c r="F96" s="6"/>
      <c r="G96" s="4" t="str">
        <f aca="false">IF(F96="","",DATEDIF(F96,Сводка!$C$5,"Y"))</f>
        <v/>
      </c>
      <c r="H96" s="7"/>
      <c r="I96" s="8"/>
      <c r="J96" s="8"/>
      <c r="K96" s="9"/>
      <c r="L96" s="10" t="str">
        <f aca="false">IF(OR(B96="",Сводка!$C$4=""),"",Сводка!$C$4-K96)</f>
        <v/>
      </c>
      <c r="M96" s="4" t="str">
        <f aca="false">IF(OR(B96="",Сводка!$C$4=""),"",IF(K96&gt;=Сводка!$C$4,"Оплачено",IF(K96&gt;0,"Частично","Не оплачено")))</f>
        <v/>
      </c>
      <c r="N96" s="4" t="str">
        <f aca="false">IF(B96="","",IF(AND(LEN(H96)=12,I96="Да",J96="Да",M96="Оплачено"),"Да","Нет"))</f>
        <v/>
      </c>
      <c r="O96" s="5"/>
    </row>
    <row r="97" customFormat="false" ht="15" hidden="false" customHeight="false" outlineLevel="0" collapsed="false">
      <c r="A97" s="4" t="str">
        <f aca="false">IF(B97="","",ROW()-4)</f>
        <v/>
      </c>
      <c r="B97" s="5"/>
      <c r="C97" s="5"/>
      <c r="D97" s="5"/>
      <c r="E97" s="5"/>
      <c r="F97" s="6"/>
      <c r="G97" s="4" t="str">
        <f aca="false">IF(F97="","",DATEDIF(F97,Сводка!$C$5,"Y"))</f>
        <v/>
      </c>
      <c r="H97" s="7"/>
      <c r="I97" s="8"/>
      <c r="J97" s="8"/>
      <c r="K97" s="9"/>
      <c r="L97" s="10" t="str">
        <f aca="false">IF(OR(B97="",Сводка!$C$4=""),"",Сводка!$C$4-K97)</f>
        <v/>
      </c>
      <c r="M97" s="4" t="str">
        <f aca="false">IF(OR(B97="",Сводка!$C$4=""),"",IF(K97&gt;=Сводка!$C$4,"Оплачено",IF(K97&gt;0,"Частично","Не оплачено")))</f>
        <v/>
      </c>
      <c r="N97" s="4" t="str">
        <f aca="false">IF(B97="","",IF(AND(LEN(H97)=12,I97="Да",J97="Да",M97="Оплачено"),"Да","Нет"))</f>
        <v/>
      </c>
      <c r="O97" s="5"/>
    </row>
    <row r="98" customFormat="false" ht="15" hidden="false" customHeight="false" outlineLevel="0" collapsed="false">
      <c r="A98" s="4" t="str">
        <f aca="false">IF(B98="","",ROW()-4)</f>
        <v/>
      </c>
      <c r="B98" s="5"/>
      <c r="C98" s="5"/>
      <c r="D98" s="5"/>
      <c r="E98" s="5"/>
      <c r="F98" s="6"/>
      <c r="G98" s="4" t="str">
        <f aca="false">IF(F98="","",DATEDIF(F98,Сводка!$C$5,"Y"))</f>
        <v/>
      </c>
      <c r="H98" s="7"/>
      <c r="I98" s="8"/>
      <c r="J98" s="8"/>
      <c r="K98" s="9"/>
      <c r="L98" s="10" t="str">
        <f aca="false">IF(OR(B98="",Сводка!$C$4=""),"",Сводка!$C$4-K98)</f>
        <v/>
      </c>
      <c r="M98" s="4" t="str">
        <f aca="false">IF(OR(B98="",Сводка!$C$4=""),"",IF(K98&gt;=Сводка!$C$4,"Оплачено",IF(K98&gt;0,"Частично","Не оплачено")))</f>
        <v/>
      </c>
      <c r="N98" s="4" t="str">
        <f aca="false">IF(B98="","",IF(AND(LEN(H98)=12,I98="Да",J98="Да",M98="Оплачено"),"Да","Нет"))</f>
        <v/>
      </c>
      <c r="O98" s="5"/>
    </row>
    <row r="99" customFormat="false" ht="15" hidden="false" customHeight="false" outlineLevel="0" collapsed="false">
      <c r="A99" s="4" t="str">
        <f aca="false">IF(B99="","",ROW()-4)</f>
        <v/>
      </c>
      <c r="B99" s="5"/>
      <c r="C99" s="5"/>
      <c r="D99" s="5"/>
      <c r="E99" s="5"/>
      <c r="F99" s="6"/>
      <c r="G99" s="4" t="str">
        <f aca="false">IF(F99="","",DATEDIF(F99,Сводка!$C$5,"Y"))</f>
        <v/>
      </c>
      <c r="H99" s="7"/>
      <c r="I99" s="8"/>
      <c r="J99" s="8"/>
      <c r="K99" s="9"/>
      <c r="L99" s="10" t="str">
        <f aca="false">IF(OR(B99="",Сводка!$C$4=""),"",Сводка!$C$4-K99)</f>
        <v/>
      </c>
      <c r="M99" s="4" t="str">
        <f aca="false">IF(OR(B99="",Сводка!$C$4=""),"",IF(K99&gt;=Сводка!$C$4,"Оплачено",IF(K99&gt;0,"Частично","Не оплачено")))</f>
        <v/>
      </c>
      <c r="N99" s="4" t="str">
        <f aca="false">IF(B99="","",IF(AND(LEN(H99)=12,I99="Да",J99="Да",M99="Оплачено"),"Да","Нет"))</f>
        <v/>
      </c>
      <c r="O99" s="5"/>
    </row>
    <row r="100" customFormat="false" ht="15" hidden="false" customHeight="false" outlineLevel="0" collapsed="false">
      <c r="A100" s="4" t="str">
        <f aca="false">IF(B100="","",ROW()-4)</f>
        <v/>
      </c>
      <c r="B100" s="5"/>
      <c r="C100" s="5"/>
      <c r="D100" s="5"/>
      <c r="E100" s="5"/>
      <c r="F100" s="6"/>
      <c r="G100" s="4" t="str">
        <f aca="false">IF(F100="","",DATEDIF(F100,Сводка!$C$5,"Y"))</f>
        <v/>
      </c>
      <c r="H100" s="7"/>
      <c r="I100" s="8"/>
      <c r="J100" s="8"/>
      <c r="K100" s="9"/>
      <c r="L100" s="10" t="str">
        <f aca="false">IF(OR(B100="",Сводка!$C$4=""),"",Сводка!$C$4-K100)</f>
        <v/>
      </c>
      <c r="M100" s="4" t="str">
        <f aca="false">IF(OR(B100="",Сводка!$C$4=""),"",IF(K100&gt;=Сводка!$C$4,"Оплачено",IF(K100&gt;0,"Частично","Не оплачено")))</f>
        <v/>
      </c>
      <c r="N100" s="4" t="str">
        <f aca="false">IF(B100="","",IF(AND(LEN(H100)=12,I100="Да",J100="Да",M100="Оплачено"),"Да","Нет"))</f>
        <v/>
      </c>
      <c r="O100" s="5"/>
    </row>
    <row r="101" customFormat="false" ht="15" hidden="false" customHeight="false" outlineLevel="0" collapsed="false">
      <c r="A101" s="4" t="str">
        <f aca="false">IF(B101="","",ROW()-4)</f>
        <v/>
      </c>
      <c r="B101" s="5"/>
      <c r="C101" s="5"/>
      <c r="D101" s="5"/>
      <c r="E101" s="5"/>
      <c r="F101" s="6"/>
      <c r="G101" s="4" t="str">
        <f aca="false">IF(F101="","",DATEDIF(F101,Сводка!$C$5,"Y"))</f>
        <v/>
      </c>
      <c r="H101" s="7"/>
      <c r="I101" s="8"/>
      <c r="J101" s="8"/>
      <c r="K101" s="9"/>
      <c r="L101" s="10" t="str">
        <f aca="false">IF(OR(B101="",Сводка!$C$4=""),"",Сводка!$C$4-K101)</f>
        <v/>
      </c>
      <c r="M101" s="4" t="str">
        <f aca="false">IF(OR(B101="",Сводка!$C$4=""),"",IF(K101&gt;=Сводка!$C$4,"Оплачено",IF(K101&gt;0,"Частично","Не оплачено")))</f>
        <v/>
      </c>
      <c r="N101" s="4" t="str">
        <f aca="false">IF(B101="","",IF(AND(LEN(H101)=12,I101="Да",J101="Да",M101="Оплачено"),"Да","Нет"))</f>
        <v/>
      </c>
      <c r="O101" s="5"/>
    </row>
    <row r="102" customFormat="false" ht="15" hidden="false" customHeight="false" outlineLevel="0" collapsed="false">
      <c r="A102" s="4" t="str">
        <f aca="false">IF(B102="","",ROW()-4)</f>
        <v/>
      </c>
      <c r="B102" s="5"/>
      <c r="C102" s="5"/>
      <c r="D102" s="5"/>
      <c r="E102" s="5"/>
      <c r="F102" s="6"/>
      <c r="G102" s="4" t="str">
        <f aca="false">IF(F102="","",DATEDIF(F102,Сводка!$C$5,"Y"))</f>
        <v/>
      </c>
      <c r="H102" s="7"/>
      <c r="I102" s="8"/>
      <c r="J102" s="8"/>
      <c r="K102" s="9"/>
      <c r="L102" s="10" t="str">
        <f aca="false">IF(OR(B102="",Сводка!$C$4=""),"",Сводка!$C$4-K102)</f>
        <v/>
      </c>
      <c r="M102" s="4" t="str">
        <f aca="false">IF(OR(B102="",Сводка!$C$4=""),"",IF(K102&gt;=Сводка!$C$4,"Оплачено",IF(K102&gt;0,"Частично","Не оплачено")))</f>
        <v/>
      </c>
      <c r="N102" s="4" t="str">
        <f aca="false">IF(B102="","",IF(AND(LEN(H102)=12,I102="Да",J102="Да",M102="Оплачено"),"Да","Нет"))</f>
        <v/>
      </c>
      <c r="O102" s="5"/>
    </row>
    <row r="103" customFormat="false" ht="15" hidden="false" customHeight="false" outlineLevel="0" collapsed="false">
      <c r="A103" s="4" t="str">
        <f aca="false">IF(B103="","",ROW()-4)</f>
        <v/>
      </c>
      <c r="B103" s="5"/>
      <c r="C103" s="5"/>
      <c r="D103" s="5"/>
      <c r="E103" s="5"/>
      <c r="F103" s="6"/>
      <c r="G103" s="4" t="str">
        <f aca="false">IF(F103="","",DATEDIF(F103,Сводка!$C$5,"Y"))</f>
        <v/>
      </c>
      <c r="H103" s="7"/>
      <c r="I103" s="8"/>
      <c r="J103" s="8"/>
      <c r="K103" s="9"/>
      <c r="L103" s="10" t="str">
        <f aca="false">IF(OR(B103="",Сводка!$C$4=""),"",Сводка!$C$4-K103)</f>
        <v/>
      </c>
      <c r="M103" s="4" t="str">
        <f aca="false">IF(OR(B103="",Сводка!$C$4=""),"",IF(K103&gt;=Сводка!$C$4,"Оплачено",IF(K103&gt;0,"Частично","Не оплачено")))</f>
        <v/>
      </c>
      <c r="N103" s="4" t="str">
        <f aca="false">IF(B103="","",IF(AND(LEN(H103)=12,I103="Да",J103="Да",M103="Оплачено"),"Да","Нет"))</f>
        <v/>
      </c>
      <c r="O103" s="5"/>
    </row>
    <row r="104" customFormat="false" ht="15" hidden="false" customHeight="false" outlineLevel="0" collapsed="false">
      <c r="A104" s="4" t="str">
        <f aca="false">IF(B104="","",ROW()-4)</f>
        <v/>
      </c>
      <c r="B104" s="5"/>
      <c r="C104" s="5"/>
      <c r="D104" s="5"/>
      <c r="E104" s="5"/>
      <c r="F104" s="6"/>
      <c r="G104" s="4" t="str">
        <f aca="false">IF(F104="","",DATEDIF(F104,Сводка!$C$5,"Y"))</f>
        <v/>
      </c>
      <c r="H104" s="7"/>
      <c r="I104" s="8"/>
      <c r="J104" s="8"/>
      <c r="K104" s="9"/>
      <c r="L104" s="10" t="str">
        <f aca="false">IF(OR(B104="",Сводка!$C$4=""),"",Сводка!$C$4-K104)</f>
        <v/>
      </c>
      <c r="M104" s="4" t="str">
        <f aca="false">IF(OR(B104="",Сводка!$C$4=""),"",IF(K104&gt;=Сводка!$C$4,"Оплачено",IF(K104&gt;0,"Частично","Не оплачено")))</f>
        <v/>
      </c>
      <c r="N104" s="4" t="str">
        <f aca="false">IF(B104="","",IF(AND(LEN(H104)=12,I104="Да",J104="Да",M104="Оплачено"),"Да","Нет"))</f>
        <v/>
      </c>
      <c r="O104" s="5"/>
    </row>
  </sheetData>
  <autoFilter ref="A4:O104"/>
  <conditionalFormatting sqref="N5:N104">
    <cfRule type="cellIs" priority="2" operator="equal" aboveAverage="0" equalAverage="0" bottom="0" percent="0" rank="0" text="" dxfId="5">
      <formula>"Да"</formula>
    </cfRule>
    <cfRule type="cellIs" priority="3" operator="equal" aboveAverage="0" equalAverage="0" bottom="0" percent="0" rank="0" text="" dxfId="6">
      <formula>"Нет"</formula>
    </cfRule>
  </conditionalFormatting>
  <conditionalFormatting sqref="M5:M104">
    <cfRule type="cellIs" priority="4" operator="equal" aboveAverage="0" equalAverage="0" bottom="0" percent="0" rank="0" text="" dxfId="7">
      <formula>"Оплачено"</formula>
    </cfRule>
    <cfRule type="cellIs" priority="5" operator="equal" aboveAverage="0" equalAverage="0" bottom="0" percent="0" rank="0" text="" dxfId="8">
      <formula>"Частично"</formula>
    </cfRule>
    <cfRule type="cellIs" priority="6" operator="equal" aboveAverage="0" equalAverage="0" bottom="0" percent="0" rank="0" text="" dxfId="9">
      <formula>"Не оплачено"</formula>
    </cfRule>
  </conditionalFormatting>
  <dataValidations count="4">
    <dataValidation allowBlank="true" errorStyle="stop" operator="between" showDropDown="false" showErrorMessage="false" showInputMessage="false" sqref="I5:J104" type="list">
      <formula1>"Да,Нет"</formula1>
      <formula2>0</formula2>
    </dataValidation>
    <dataValidation allowBlank="true" error="ИИН должен состоять из 12 цифр" errorStyle="stop" errorTitle="ИИН" operator="equal" showDropDown="false" showErrorMessage="true" showInputMessage="false" sqref="H5:H104" type="textLength">
      <formula1>12</formula1>
      <formula2>0</formula2>
    </dataValidation>
    <dataValidation allowBlank="true" error="Введите дату в формате ДД.ММ.ГГГГ" errorStyle="stop" operator="between" showDropDown="false" showErrorMessage="true" showInputMessage="false" sqref="F5:F104" type="date">
      <formula1>DATE(2005,1,1)</formula1>
      <formula2>DATE(2016,12,31)</formula2>
    </dataValidation>
    <dataValidation allowBlank="true" errorStyle="stop" operator="greaterThanOrEqual" showDropDown="false" showErrorMessage="false" showInputMessage="false" sqref="K5:K1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7.35" hidden="false" customHeight="false" outlineLevel="0" collapsed="false">
      <c r="B1" s="1" t="s">
        <v>17</v>
      </c>
    </row>
    <row r="3" customFormat="false" ht="15" hidden="false" customHeight="false" outlineLevel="0" collapsed="false">
      <c r="B3" s="11" t="s">
        <v>18</v>
      </c>
    </row>
    <row r="4" customFormat="false" ht="15" hidden="false" customHeight="false" outlineLevel="0" collapsed="false">
      <c r="B4" s="12" t="s">
        <v>19</v>
      </c>
      <c r="C4" s="9"/>
    </row>
    <row r="5" customFormat="false" ht="15" hidden="false" customHeight="false" outlineLevel="0" collapsed="false">
      <c r="B5" s="12" t="s">
        <v>20</v>
      </c>
      <c r="C5" s="6" t="n">
        <v>46322</v>
      </c>
    </row>
    <row r="7" customFormat="false" ht="15" hidden="false" customHeight="false" outlineLevel="0" collapsed="false">
      <c r="B7" s="11" t="s">
        <v>21</v>
      </c>
    </row>
    <row r="8" customFormat="false" ht="15" hidden="false" customHeight="false" outlineLevel="0" collapsed="false">
      <c r="B8" s="13" t="s">
        <v>22</v>
      </c>
      <c r="C8" s="14" t="n">
        <f aca="false">COUNTA(Ученики!$B$5:$B$104)</f>
        <v>0</v>
      </c>
    </row>
    <row r="9" customFormat="false" ht="15" hidden="false" customHeight="false" outlineLevel="0" collapsed="false">
      <c r="B9" s="13" t="s">
        <v>23</v>
      </c>
      <c r="C9" s="14" t="n">
        <f aca="false">COUNTIF(Ученики!$I$5:$I$104,"Да")</f>
        <v>0</v>
      </c>
    </row>
    <row r="10" customFormat="false" ht="15" hidden="false" customHeight="false" outlineLevel="0" collapsed="false">
      <c r="B10" s="13" t="s">
        <v>24</v>
      </c>
      <c r="C10" s="14" t="n">
        <f aca="false">COUNTIF(Ученики!$J$5:$J$104,"Да")</f>
        <v>0</v>
      </c>
    </row>
    <row r="11" customFormat="false" ht="15" hidden="false" customHeight="false" outlineLevel="0" collapsed="false">
      <c r="B11" s="13" t="s">
        <v>25</v>
      </c>
      <c r="C11" s="14" t="n">
        <f aca="false">COUNTIF(Ученики!$M$5:$M$104,"Оплачено")</f>
        <v>0</v>
      </c>
    </row>
    <row r="12" customFormat="false" ht="15" hidden="false" customHeight="false" outlineLevel="0" collapsed="false">
      <c r="B12" s="13" t="s">
        <v>26</v>
      </c>
      <c r="C12" s="14" t="n">
        <f aca="false">COUNTIF(Ученики!$M$5:$M$104,"Частично")</f>
        <v>0</v>
      </c>
    </row>
    <row r="13" customFormat="false" ht="15" hidden="false" customHeight="false" outlineLevel="0" collapsed="false">
      <c r="B13" s="13" t="s">
        <v>27</v>
      </c>
      <c r="C13" s="14" t="n">
        <f aca="false">COUNTIF(Ученики!$M$5:$M$104,"Не оплачено")</f>
        <v>0</v>
      </c>
    </row>
    <row r="14" customFormat="false" ht="15" hidden="false" customHeight="false" outlineLevel="0" collapsed="false">
      <c r="B14" s="13" t="s">
        <v>28</v>
      </c>
      <c r="C14" s="15" t="n">
        <f aca="false">SUM(Ученики!$K$5:$K$104)</f>
        <v>0</v>
      </c>
    </row>
    <row r="15" customFormat="false" ht="15" hidden="false" customHeight="false" outlineLevel="0" collapsed="false">
      <c r="B15" s="13" t="s">
        <v>29</v>
      </c>
      <c r="C15" s="15" t="n">
        <f aca="false">C8*$C$4</f>
        <v>0</v>
      </c>
    </row>
    <row r="16" customFormat="false" ht="15" hidden="false" customHeight="false" outlineLevel="0" collapsed="false">
      <c r="B16" s="13" t="s">
        <v>30</v>
      </c>
      <c r="C16" s="15" t="n">
        <f aca="false">C15-C14</f>
        <v>0</v>
      </c>
    </row>
    <row r="17" customFormat="false" ht="15" hidden="false" customHeight="false" outlineLevel="0" collapsed="false">
      <c r="B17" s="13" t="s">
        <v>31</v>
      </c>
      <c r="C17" s="14" t="n">
        <f aca="false">COUNTIF(Ученики!$N$5:$N$104,"Да")</f>
        <v>0</v>
      </c>
    </row>
    <row r="20" customFormat="false" ht="15" hidden="false" customHeight="false" outlineLevel="0" collapsed="false">
      <c r="B20" s="11" t="s">
        <v>32</v>
      </c>
    </row>
    <row r="21" customFormat="false" ht="15" hidden="false" customHeight="false" outlineLevel="0" collapsed="false">
      <c r="B21" s="3" t="s">
        <v>33</v>
      </c>
      <c r="C21" s="3" t="s">
        <v>34</v>
      </c>
      <c r="D21" s="3" t="s">
        <v>35</v>
      </c>
    </row>
    <row r="22" customFormat="false" ht="15" hidden="false" customHeight="false" outlineLevel="0" collapsed="false">
      <c r="B22" s="5"/>
      <c r="C22" s="16" t="str">
        <f aca="false">IF(B22="","",COUNTIF(Ученики!$E$5:$E$104,B22))</f>
        <v/>
      </c>
      <c r="D22" s="16" t="str">
        <f aca="false">IF(B22="","",COUNTIFS(Ученики!$E$5:$E$104,B22,Ученики!$N$5:$N$104,"Да"))</f>
        <v/>
      </c>
    </row>
    <row r="23" customFormat="false" ht="15" hidden="false" customHeight="false" outlineLevel="0" collapsed="false">
      <c r="B23" s="5"/>
      <c r="C23" s="16" t="str">
        <f aca="false">IF(B23="","",COUNTIF(Ученики!$E$5:$E$104,B23))</f>
        <v/>
      </c>
      <c r="D23" s="16" t="str">
        <f aca="false">IF(B23="","",COUNTIFS(Ученики!$E$5:$E$104,B23,Ученики!$N$5:$N$104,"Да"))</f>
        <v/>
      </c>
    </row>
    <row r="24" customFormat="false" ht="15" hidden="false" customHeight="false" outlineLevel="0" collapsed="false">
      <c r="B24" s="5"/>
      <c r="C24" s="16" t="str">
        <f aca="false">IF(B24="","",COUNTIF(Ученики!$E$5:$E$104,B24))</f>
        <v/>
      </c>
      <c r="D24" s="16" t="str">
        <f aca="false">IF(B24="","",COUNTIFS(Ученики!$E$5:$E$104,B24,Ученики!$N$5:$N$104,"Да"))</f>
        <v/>
      </c>
    </row>
    <row r="25" customFormat="false" ht="15" hidden="false" customHeight="false" outlineLevel="0" collapsed="false">
      <c r="B25" s="5"/>
      <c r="C25" s="16" t="str">
        <f aca="false">IF(B25="","",COUNTIF(Ученики!$E$5:$E$104,B25))</f>
        <v/>
      </c>
      <c r="D25" s="16" t="str">
        <f aca="false">IF(B25="","",COUNTIFS(Ученики!$E$5:$E$104,B25,Ученики!$N$5:$N$104,"Да"))</f>
        <v/>
      </c>
    </row>
    <row r="26" customFormat="false" ht="15" hidden="false" customHeight="false" outlineLevel="0" collapsed="false">
      <c r="B26" s="5"/>
      <c r="C26" s="16" t="str">
        <f aca="false">IF(B26="","",COUNTIF(Ученики!$E$5:$E$104,B26))</f>
        <v/>
      </c>
      <c r="D26" s="16" t="str">
        <f aca="false">IF(B26="","",COUNTIFS(Ученики!$E$5:$E$104,B26,Ученики!$N$5:$N$104,"Да"))</f>
        <v/>
      </c>
    </row>
    <row r="27" customFormat="false" ht="15" hidden="false" customHeight="false" outlineLevel="0" collapsed="false">
      <c r="B27" s="5"/>
      <c r="C27" s="16" t="str">
        <f aca="false">IF(B27="","",COUNTIF(Ученики!$E$5:$E$104,B27))</f>
        <v/>
      </c>
      <c r="D27" s="16" t="str">
        <f aca="false">IF(B27="","",COUNTIFS(Ученики!$E$5:$E$104,B27,Ученики!$N$5:$N$104,"Да"))</f>
        <v/>
      </c>
    </row>
    <row r="28" customFormat="false" ht="15" hidden="false" customHeight="false" outlineLevel="0" collapsed="false">
      <c r="B28" s="5"/>
      <c r="C28" s="16" t="str">
        <f aca="false">IF(B28="","",COUNTIF(Ученики!$E$5:$E$104,B28))</f>
        <v/>
      </c>
      <c r="D28" s="16" t="str">
        <f aca="false">IF(B28="","",COUNTIFS(Ученики!$E$5:$E$104,B28,Ученики!$N$5:$N$104,"Да"))</f>
        <v/>
      </c>
    </row>
    <row r="29" customFormat="false" ht="15" hidden="false" customHeight="false" outlineLevel="0" collapsed="false">
      <c r="B29" s="5"/>
      <c r="C29" s="16" t="str">
        <f aca="false">IF(B29="","",COUNTIF(Ученики!$E$5:$E$104,B29))</f>
        <v/>
      </c>
      <c r="D29" s="16" t="str">
        <f aca="false">IF(B29="","",COUNTIFS(Ученики!$E$5:$E$104,B29,Ученики!$N$5:$N$104,"Да"))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11" t="s">
        <v>36</v>
      </c>
    </row>
    <row r="2" customFormat="false" ht="15" hidden="false" customHeight="false" outlineLevel="0" collapsed="false">
      <c r="A2" s="17" t="s">
        <v>37</v>
      </c>
    </row>
    <row r="3" customFormat="false" ht="15" hidden="false" customHeight="false" outlineLevel="0" collapsed="false">
      <c r="A3" s="17" t="s">
        <v>38</v>
      </c>
    </row>
    <row r="4" customFormat="false" ht="15" hidden="false" customHeight="false" outlineLevel="0" collapsed="false">
      <c r="A4" s="17" t="s">
        <v>39</v>
      </c>
    </row>
    <row r="5" customFormat="false" ht="15" hidden="false" customHeight="false" outlineLevel="0" collapsed="false">
      <c r="A5" s="17" t="s">
        <v>40</v>
      </c>
    </row>
    <row r="6" customFormat="false" ht="15" hidden="false" customHeight="false" outlineLevel="0" collapsed="false">
      <c r="A6" s="17" t="s">
        <v>41</v>
      </c>
    </row>
    <row r="7" customFormat="false" ht="15" hidden="false" customHeight="false" outlineLevel="0" collapsed="false">
      <c r="A7" s="17" t="s">
        <v>42</v>
      </c>
    </row>
    <row r="8" customFormat="false" ht="15" hidden="false" customHeight="false" outlineLevel="0" collapsed="false">
      <c r="A8" s="17" t="s">
        <v>43</v>
      </c>
    </row>
    <row r="9" customFormat="false" ht="15" hidden="false" customHeight="false" outlineLevel="0" collapsed="false">
      <c r="A9" s="17"/>
    </row>
    <row r="10" customFormat="false" ht="15" hidden="false" customHeight="false" outlineLevel="0" collapsed="false">
      <c r="A10" s="11" t="s">
        <v>44</v>
      </c>
    </row>
    <row r="12" customFormat="false" ht="26.85" hidden="false" customHeight="false" outlineLevel="0" collapsed="false">
      <c r="A12" s="3" t="s">
        <v>3</v>
      </c>
      <c r="B12" s="3" t="s">
        <v>4</v>
      </c>
      <c r="C12" s="3" t="s">
        <v>5</v>
      </c>
      <c r="D12" s="3" t="s">
        <v>6</v>
      </c>
      <c r="E12" s="3" t="s">
        <v>7</v>
      </c>
      <c r="F12" s="3" t="s">
        <v>9</v>
      </c>
      <c r="G12" s="3" t="s">
        <v>45</v>
      </c>
      <c r="H12" s="3" t="s">
        <v>46</v>
      </c>
      <c r="I12" s="3" t="s">
        <v>12</v>
      </c>
      <c r="J12" s="3" t="s">
        <v>16</v>
      </c>
    </row>
    <row r="13" customFormat="false" ht="15" hidden="false" customHeight="false" outlineLevel="0" collapsed="false">
      <c r="A13" s="18" t="s">
        <v>47</v>
      </c>
      <c r="B13" s="18" t="s">
        <v>48</v>
      </c>
      <c r="C13" s="18" t="s">
        <v>49</v>
      </c>
      <c r="D13" s="18" t="s">
        <v>50</v>
      </c>
      <c r="E13" s="19" t="n">
        <v>39886</v>
      </c>
      <c r="F13" s="18" t="s">
        <v>51</v>
      </c>
      <c r="G13" s="18" t="s">
        <v>52</v>
      </c>
      <c r="H13" s="18" t="s">
        <v>52</v>
      </c>
      <c r="I13" s="20" t="n">
        <v>45000</v>
      </c>
      <c r="J13" s="18" t="s">
        <v>53</v>
      </c>
    </row>
    <row r="15" customFormat="false" ht="15" hidden="false" customHeight="false" outlineLevel="0" collapsed="false">
      <c r="A15" s="21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2026-10-08T13:20:48Z</dcterms:created>
  <dc:creator>openpyxl</dc:creator>
  <dc:description/>
  <dc:language>en-US</dc:language>
  <cp:lastModifiedBy/>
  <dcterms:modified xsi:type="dcterms:W3CDTF">2026-10-08T13:20:48Z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